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ASUS\Downloads\Referensi Perpajakan\FORM SPT CORETAX\"/>
    </mc:Choice>
  </mc:AlternateContent>
  <xr:revisionPtr revIDLastSave="0" documentId="13_ncr:1_{DDF49E3F-69D2-40DB-A86E-6BC08724491C}" xr6:coauthVersionLast="47" xr6:coauthVersionMax="47" xr10:uidLastSave="{00000000-0000-0000-0000-000000000000}"/>
  <bookViews>
    <workbookView xWindow="-110" yWindow="-110" windowWidth="19420" windowHeight="10300" tabRatio="880" xr2:uid="{00000000-000D-0000-FFFF-FFFF00000000}"/>
  </bookViews>
  <sheets>
    <sheet name="INDUK1" sheetId="1" r:id="rId1"/>
    <sheet name="INDUK2" sheetId="2" r:id="rId2"/>
    <sheet name="LKUMUM" sheetId="3" r:id="rId3"/>
    <sheet name="LKDAGANG" sheetId="4" r:id="rId4"/>
    <sheet name="LKJASA" sheetId="5" r:id="rId5"/>
    <sheet name="L2" sheetId="6" r:id="rId6"/>
    <sheet name="L3" sheetId="7" r:id="rId7"/>
    <sheet name="L4" sheetId="8" r:id="rId8"/>
    <sheet name="L5" sheetId="10" r:id="rId9"/>
    <sheet name="L6" sheetId="11" r:id="rId10"/>
    <sheet name="L7" sheetId="12" r:id="rId11"/>
    <sheet name="L8" sheetId="13" r:id="rId12"/>
    <sheet name="L9" sheetId="14" r:id="rId13"/>
    <sheet name="L11A" sheetId="15" r:id="rId14"/>
    <sheet name="L11B" sheetId="9" r:id="rId15"/>
  </sheets>
  <definedNames>
    <definedName name="_xlnm.Print_Area" localSheetId="8">'L5'!$D$3:$AX$27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79" i="9" l="1"/>
  <c r="AH79" i="9"/>
  <c r="Z79" i="9"/>
  <c r="O79" i="9"/>
  <c r="BE61" i="9"/>
  <c r="BB61" i="9"/>
  <c r="AY61" i="9"/>
  <c r="AV61" i="9"/>
  <c r="AS61" i="9"/>
  <c r="AP61" i="9"/>
  <c r="AM61" i="9"/>
  <c r="AJ61" i="9"/>
  <c r="AG61" i="9"/>
  <c r="AD61" i="9"/>
  <c r="AA61" i="9"/>
  <c r="X61" i="9"/>
  <c r="U61" i="9"/>
  <c r="BE47" i="9"/>
  <c r="BB47" i="9"/>
  <c r="AY47" i="9"/>
  <c r="AV47" i="9"/>
  <c r="AS47" i="9"/>
  <c r="AP47" i="9"/>
  <c r="AM47" i="9"/>
  <c r="AJ47" i="9"/>
  <c r="AG47" i="9"/>
  <c r="AD47" i="9"/>
  <c r="AA47" i="9"/>
  <c r="X47" i="9"/>
  <c r="U47" i="9"/>
  <c r="AI11" i="9"/>
  <c r="AH11" i="9"/>
  <c r="AG11" i="9"/>
  <c r="AF11" i="9"/>
  <c r="AE11" i="9"/>
  <c r="AD11" i="9"/>
  <c r="AC11" i="9"/>
  <c r="AB11" i="9"/>
  <c r="AA11" i="9"/>
  <c r="Z11" i="9"/>
  <c r="Y11" i="9"/>
  <c r="X11" i="9"/>
  <c r="W11" i="9"/>
  <c r="V11" i="9"/>
  <c r="U11" i="9"/>
  <c r="T11" i="9"/>
  <c r="BE8" i="9"/>
  <c r="BD8" i="9"/>
  <c r="BC8" i="9"/>
  <c r="BB8" i="9"/>
  <c r="AO84" i="15"/>
  <c r="AH11" i="15"/>
  <c r="AG11" i="15"/>
  <c r="AF11" i="15"/>
  <c r="AE11" i="15"/>
  <c r="AD11" i="15"/>
  <c r="AC11" i="15"/>
  <c r="AB11" i="15"/>
  <c r="AA11" i="15"/>
  <c r="Z11" i="15"/>
  <c r="Y11" i="15"/>
  <c r="X11" i="15"/>
  <c r="W11" i="15"/>
  <c r="V11" i="15"/>
  <c r="U11" i="15"/>
  <c r="T11" i="15"/>
  <c r="S11" i="15"/>
  <c r="AU8" i="15"/>
  <c r="AT8" i="15"/>
  <c r="AS8" i="15"/>
  <c r="AR8" i="15"/>
  <c r="AM10" i="14"/>
  <c r="AL10" i="14"/>
  <c r="AK10" i="14"/>
  <c r="AJ10" i="14"/>
  <c r="AI10" i="14"/>
  <c r="AH10" i="14"/>
  <c r="AG10" i="14"/>
  <c r="AF10" i="14"/>
  <c r="AE10" i="14"/>
  <c r="AD10" i="14"/>
  <c r="AC10" i="14"/>
  <c r="AB10" i="14"/>
  <c r="AA10" i="14"/>
  <c r="Z10" i="14"/>
  <c r="Y10" i="14"/>
  <c r="X10" i="14"/>
  <c r="BA8" i="14"/>
  <c r="AZ8" i="14"/>
  <c r="AY8" i="14"/>
  <c r="AX8" i="14"/>
  <c r="AG11" i="13"/>
  <c r="AF11" i="13"/>
  <c r="AE11" i="13"/>
  <c r="AD11" i="13"/>
  <c r="AC11" i="13"/>
  <c r="AB11" i="13"/>
  <c r="AA11" i="13"/>
  <c r="Z11" i="13"/>
  <c r="Y11" i="13"/>
  <c r="X11" i="13"/>
  <c r="W11" i="13"/>
  <c r="V11" i="13"/>
  <c r="U11" i="13"/>
  <c r="T11" i="13"/>
  <c r="S11" i="13"/>
  <c r="R11" i="13"/>
  <c r="AR8" i="13"/>
  <c r="AQ8" i="13"/>
  <c r="AP8" i="13"/>
  <c r="AO8" i="13"/>
  <c r="BB27" i="12"/>
  <c r="AT27" i="12"/>
  <c r="AO10" i="12"/>
  <c r="AN10" i="12"/>
  <c r="AM10" i="12"/>
  <c r="AL10" i="12"/>
  <c r="AK10" i="12"/>
  <c r="AJ10" i="12"/>
  <c r="AI10" i="12"/>
  <c r="AH10" i="12"/>
  <c r="AG10" i="12"/>
  <c r="AF10" i="12"/>
  <c r="AE10" i="12"/>
  <c r="AD10" i="12"/>
  <c r="AC10" i="12"/>
  <c r="AB10" i="12"/>
  <c r="AA10" i="12"/>
  <c r="Z10" i="12"/>
  <c r="BE8" i="12"/>
  <c r="BD8" i="12"/>
  <c r="BC8" i="12"/>
  <c r="BB8" i="12"/>
  <c r="AM34" i="11"/>
  <c r="AM31" i="11"/>
  <c r="AM22" i="11"/>
  <c r="AG10" i="11"/>
  <c r="AF10" i="11"/>
  <c r="AE10" i="11"/>
  <c r="AD10" i="11"/>
  <c r="AC10" i="11"/>
  <c r="AB10" i="11"/>
  <c r="AA10" i="11"/>
  <c r="Z10" i="11"/>
  <c r="Y10" i="11"/>
  <c r="X10" i="11"/>
  <c r="W10" i="11"/>
  <c r="V10" i="11"/>
  <c r="U10" i="11"/>
  <c r="T10" i="11"/>
  <c r="S10" i="11"/>
  <c r="R10" i="11"/>
  <c r="AS8" i="11"/>
  <c r="AR8" i="11"/>
  <c r="AQ8" i="11"/>
  <c r="AP8" i="11"/>
  <c r="AU45" i="10"/>
  <c r="AQ45" i="10"/>
  <c r="AN45" i="10"/>
  <c r="AK45" i="10"/>
  <c r="AH45" i="10"/>
  <c r="AE45" i="10"/>
  <c r="AB45" i="10"/>
  <c r="Y45" i="10"/>
  <c r="V45" i="10"/>
  <c r="S45" i="10"/>
  <c r="P45" i="10"/>
  <c r="M45" i="10"/>
  <c r="J45" i="10"/>
  <c r="AT41" i="10"/>
  <c r="AT38" i="10"/>
  <c r="AQ38" i="10"/>
  <c r="AN38" i="10"/>
  <c r="AK38" i="10"/>
  <c r="AH38" i="10"/>
  <c r="AE38" i="10"/>
  <c r="AB38" i="10"/>
  <c r="Y38" i="10"/>
  <c r="V38" i="10"/>
  <c r="S38" i="10"/>
  <c r="P38" i="10"/>
  <c r="M38" i="10"/>
  <c r="J38" i="10"/>
  <c r="AT36" i="10"/>
  <c r="AQ36" i="10"/>
  <c r="AN36" i="10"/>
  <c r="AK36" i="10"/>
  <c r="AH36" i="10"/>
  <c r="AE36" i="10"/>
  <c r="AB36" i="10"/>
  <c r="Y36" i="10"/>
  <c r="V36" i="10"/>
  <c r="S36" i="10"/>
  <c r="P36" i="10"/>
  <c r="M36" i="10"/>
  <c r="J36" i="10"/>
  <c r="AU34" i="10"/>
  <c r="AQ34" i="10"/>
  <c r="AN34" i="10"/>
  <c r="AK34" i="10"/>
  <c r="AH34" i="10"/>
  <c r="AE34" i="10"/>
  <c r="AB34" i="10"/>
  <c r="Y34" i="10"/>
  <c r="V34" i="10"/>
  <c r="S34" i="10"/>
  <c r="P34" i="10"/>
  <c r="M34" i="10"/>
  <c r="J34" i="10"/>
  <c r="AT33" i="10"/>
  <c r="AT32" i="10"/>
  <c r="AT31" i="10"/>
  <c r="AT30" i="10"/>
  <c r="AT29" i="10"/>
  <c r="AT28" i="10"/>
  <c r="AT27" i="10"/>
  <c r="AH10" i="10"/>
  <c r="AG10" i="10"/>
  <c r="AF10" i="10"/>
  <c r="AE10" i="10"/>
  <c r="AD10" i="10"/>
  <c r="AC10" i="10"/>
  <c r="AB10" i="10"/>
  <c r="AA10" i="10"/>
  <c r="Z10" i="10"/>
  <c r="Y10" i="10"/>
  <c r="X10" i="10"/>
  <c r="W10" i="10"/>
  <c r="V10" i="10"/>
  <c r="U10" i="10"/>
  <c r="T10" i="10"/>
  <c r="S10" i="10"/>
  <c r="AU8" i="10"/>
  <c r="AT8" i="10"/>
  <c r="AS8" i="10"/>
  <c r="AR8" i="10"/>
  <c r="AJ43" i="8"/>
  <c r="AL27" i="8"/>
  <c r="AC27" i="8"/>
  <c r="AG11" i="8"/>
  <c r="AF11" i="8"/>
  <c r="AE11" i="8"/>
  <c r="AD11" i="8"/>
  <c r="AC11" i="8"/>
  <c r="AB11" i="8"/>
  <c r="AA11" i="8"/>
  <c r="Z11" i="8"/>
  <c r="Y11" i="8"/>
  <c r="X11" i="8"/>
  <c r="W11" i="8"/>
  <c r="V11" i="8"/>
  <c r="U11" i="8"/>
  <c r="T11" i="8"/>
  <c r="S11" i="8"/>
  <c r="R11" i="8"/>
  <c r="AP8" i="8"/>
  <c r="AO8" i="8"/>
  <c r="AN8" i="8"/>
  <c r="AM8" i="8"/>
  <c r="AE50" i="7"/>
  <c r="AE49" i="7"/>
  <c r="AE48" i="7"/>
  <c r="W48" i="7"/>
  <c r="AP30" i="7"/>
  <c r="AP28" i="7"/>
  <c r="AB28" i="7"/>
  <c r="W28" i="7"/>
  <c r="AG10" i="7"/>
  <c r="AF10" i="7"/>
  <c r="AE10" i="7"/>
  <c r="AD10" i="7"/>
  <c r="AC10" i="7"/>
  <c r="AB10" i="7"/>
  <c r="AA10" i="7"/>
  <c r="Z10" i="7"/>
  <c r="Y10" i="7"/>
  <c r="X10" i="7"/>
  <c r="W10" i="7"/>
  <c r="V10" i="7"/>
  <c r="U10" i="7"/>
  <c r="T10" i="7"/>
  <c r="S10" i="7"/>
  <c r="R10" i="7"/>
  <c r="AS8" i="7"/>
  <c r="AR8" i="7"/>
  <c r="AQ8" i="7"/>
  <c r="AP8" i="7"/>
  <c r="AN35" i="6"/>
  <c r="AC35" i="6"/>
  <c r="AS23" i="6"/>
  <c r="AQ23" i="6"/>
  <c r="AK23" i="6"/>
  <c r="AG10" i="6"/>
  <c r="AF10" i="6"/>
  <c r="AE10" i="6"/>
  <c r="AD10" i="6"/>
  <c r="AC10" i="6"/>
  <c r="AB10" i="6"/>
  <c r="AA10" i="6"/>
  <c r="Z10" i="6"/>
  <c r="Y10" i="6"/>
  <c r="X10" i="6"/>
  <c r="W10" i="6"/>
  <c r="V10" i="6"/>
  <c r="U10" i="6"/>
  <c r="T10" i="6"/>
  <c r="S10" i="6"/>
  <c r="R10" i="6"/>
  <c r="AV8" i="6"/>
  <c r="AU8" i="6"/>
  <c r="AT8" i="6"/>
  <c r="AS8" i="6"/>
  <c r="AR92" i="5"/>
  <c r="AR91" i="5"/>
  <c r="T89" i="5"/>
  <c r="AR84" i="5"/>
  <c r="AG10" i="5"/>
  <c r="AF10" i="5"/>
  <c r="AE10" i="5"/>
  <c r="AD10" i="5"/>
  <c r="AC10" i="5"/>
  <c r="AB10" i="5"/>
  <c r="AA10" i="5"/>
  <c r="Z10" i="5"/>
  <c r="Y10" i="5"/>
  <c r="X10" i="5"/>
  <c r="W10" i="5"/>
  <c r="V10" i="5"/>
  <c r="U10" i="5"/>
  <c r="T10" i="5"/>
  <c r="S10" i="5"/>
  <c r="R10" i="5"/>
  <c r="AS8" i="5"/>
  <c r="AR8" i="5"/>
  <c r="AQ8" i="5"/>
  <c r="AP8" i="5"/>
  <c r="T109" i="4"/>
  <c r="T108" i="4"/>
  <c r="AR105" i="4"/>
  <c r="AR104" i="4"/>
  <c r="AR97" i="4"/>
  <c r="T90" i="4"/>
  <c r="AG10" i="4"/>
  <c r="AF10" i="4"/>
  <c r="AE10" i="4"/>
  <c r="AD10" i="4"/>
  <c r="AC10" i="4"/>
  <c r="AB10" i="4"/>
  <c r="AA10" i="4"/>
  <c r="Z10" i="4"/>
  <c r="Y10" i="4"/>
  <c r="X10" i="4"/>
  <c r="W10" i="4"/>
  <c r="V10" i="4"/>
  <c r="U10" i="4"/>
  <c r="T10" i="4"/>
  <c r="S10" i="4"/>
  <c r="R10" i="4"/>
  <c r="AS8" i="4"/>
  <c r="AR8" i="4"/>
  <c r="AQ8" i="4"/>
  <c r="AP8" i="4"/>
  <c r="T108" i="3"/>
  <c r="AR104" i="3"/>
  <c r="AR103" i="3"/>
  <c r="AR96" i="3"/>
  <c r="AG10" i="3"/>
  <c r="AF10" i="3"/>
  <c r="AE10" i="3"/>
  <c r="AD10" i="3"/>
  <c r="AC10" i="3"/>
  <c r="AB10" i="3"/>
  <c r="AA10" i="3"/>
  <c r="Z10" i="3"/>
  <c r="Y10" i="3"/>
  <c r="X10" i="3"/>
  <c r="W10" i="3"/>
  <c r="V10" i="3"/>
  <c r="U10" i="3"/>
  <c r="T10" i="3"/>
  <c r="S10" i="3"/>
  <c r="R10" i="3"/>
  <c r="AS8" i="3"/>
  <c r="AR8" i="3"/>
  <c r="AQ8" i="3"/>
  <c r="AP8" i="3"/>
  <c r="K14" i="2"/>
  <c r="I14" i="2"/>
  <c r="G14" i="2"/>
  <c r="E14" i="2"/>
  <c r="AP118" i="1"/>
  <c r="AP113" i="1"/>
  <c r="AP108" i="1"/>
  <c r="AP89" i="1"/>
  <c r="AP76" i="1"/>
  <c r="AP71" i="1"/>
</calcChain>
</file>

<file path=xl/sharedStrings.xml><?xml version="1.0" encoding="utf-8"?>
<sst xmlns="http://schemas.openxmlformats.org/spreadsheetml/2006/main" count="1553" uniqueCount="644">
  <si>
    <t>KEMENTRIAN KEUANGAN</t>
  </si>
  <si>
    <t>SPT TAHUNAN</t>
  </si>
  <si>
    <t>INDUK</t>
  </si>
  <si>
    <t>REPUBLIK INDONESIA</t>
  </si>
  <si>
    <t>PAJAK PENGHASILAN (PPh)</t>
  </si>
  <si>
    <t>HALAMAN 1</t>
  </si>
  <si>
    <t>DIREKTORAT JENDERAL PAJAK</t>
  </si>
  <si>
    <t>WAJIB PAJAK BADAN</t>
  </si>
  <si>
    <t>DALAM MATA UANG RUPIAH</t>
  </si>
  <si>
    <t>UMUM</t>
  </si>
  <si>
    <t>TAHUN PAJAK/BAGIAN TAHUN PAJAK</t>
  </si>
  <si>
    <t>PERIODE PEMBUKUAN</t>
  </si>
  <si>
    <t>STATUS</t>
  </si>
  <si>
    <t>METODE PEMBUKUAN</t>
  </si>
  <si>
    <t>DAGANG</t>
  </si>
  <si>
    <t>TAHUN PAJAK</t>
  </si>
  <si>
    <t>BULAN MULAI</t>
  </si>
  <si>
    <t>BULAN AKHIR</t>
  </si>
  <si>
    <t>JASA</t>
  </si>
  <si>
    <t>BAGIAN TAHUN PAJAK</t>
  </si>
  <si>
    <t>NORMAL</t>
  </si>
  <si>
    <t>PEMBUKUAN STELSEL AKRUAL</t>
  </si>
  <si>
    <t>S
.
D</t>
  </si>
  <si>
    <t>PEMBETULAN</t>
  </si>
  <si>
    <t>PEMBUKUAN STELSEL KAS</t>
  </si>
  <si>
    <t>A.</t>
  </si>
  <si>
    <t>IDENTITAS WAJIB PAJAK</t>
  </si>
  <si>
    <t>1.</t>
  </si>
  <si>
    <t>NPWP</t>
  </si>
  <si>
    <t>2.</t>
  </si>
  <si>
    <t>NAMA</t>
  </si>
  <si>
    <t>3.</t>
  </si>
  <si>
    <t>ALAMAT EMAIL</t>
  </si>
  <si>
    <t>4.</t>
  </si>
  <si>
    <t>NOMOR TELEPON</t>
  </si>
  <si>
    <t>B.</t>
  </si>
  <si>
    <t>INFORMASI LAPORANKEUANGAN</t>
  </si>
  <si>
    <t>Sektor Usaha Laporan Keuangan pada Lampiran 1</t>
  </si>
  <si>
    <t>Apakah Laporan Keuangan diaudit oleh Akuntan Publik ?</t>
  </si>
  <si>
    <t>TIDAK</t>
  </si>
  <si>
    <t>YA</t>
  </si>
  <si>
    <t>Opini Auditor</t>
  </si>
  <si>
    <t>Jika "Ya", isilah informasi mengenai Kantor akuntan Publik di bawah ini:</t>
  </si>
  <si>
    <t>a.</t>
  </si>
  <si>
    <t>NPWP Kantor Akuntan Publik</t>
  </si>
  <si>
    <t>b.</t>
  </si>
  <si>
    <t>Nama Kantor akuntan Publik</t>
  </si>
  <si>
    <t>C.</t>
  </si>
  <si>
    <t>PENGHASILAN YANG DIKENAKAN PPh YANG BERSIFAT FINAL DANPENGHASILAN YANG TIDAK TERMASUK OBJEK PAJAK</t>
  </si>
  <si>
    <t>a</t>
  </si>
  <si>
    <t>Apakah Wajib Pajak menerima atau memperoleh penghasilan dari usaha dengan peredaran bruto tertentu yang dikenakan PPh yang bersifat final ?</t>
  </si>
  <si>
    <t>Jika "Ya", isilah Lampiran 5</t>
  </si>
  <si>
    <t>b</t>
  </si>
  <si>
    <t>Apakah penghasilan Wajib Pajak semata-mata hanya penghasilan dari usaha dengan peredaran bruto tertentu yang dikenakan PPh yang bersifat final ?</t>
  </si>
  <si>
    <t>Apakah wajib Pajak menerima atau memperoleh penghasilan yang dikenakan PPh yang bersifat final ?</t>
  </si>
  <si>
    <t>Jika "Ya", Isilah Lampiran 4 bagian A.</t>
  </si>
  <si>
    <t>Apakah Wajib Pajak menerima atau memperoleh penghasilan yang tidak termasuk objek pajak ?</t>
  </si>
  <si>
    <t>Jika "Ya", Isilah Lampiran 4 bagian B.</t>
  </si>
  <si>
    <t>D.</t>
  </si>
  <si>
    <t>PENGHITUNGAN PPh</t>
  </si>
  <si>
    <t>Penghasilan Neto Fiskal sebelum Fasilitas Pajak</t>
  </si>
  <si>
    <t>Diisi dari Lampiran 1 (sesuai sektor usaha) Bagian A Kolom (10)</t>
  </si>
  <si>
    <t>Apakah Wajib Pajak memperoleh Fasilitas Perpajakan dalam rangka Penanaman Modal berupa pengurangan penghasilan neto ?</t>
  </si>
  <si>
    <t>Jika "Ya", isilah Lampiran 13A</t>
  </si>
  <si>
    <t>Apakah Wajib Pajak memperoleh Fasilitas Pengurangan Penghasilan Bruto atas Kegiatan Praktik Kerja, Pemagangan, dan/atau Pembelajaran dalam rangka Pembinaan dan Pengembangan Sumber Daya Manusia Berbasis Kompetensi Tertentu ?</t>
  </si>
  <si>
    <t>Jika "Ya", isilah Lampiran 13B</t>
  </si>
  <si>
    <t>Penghasilan Neto Fiskal Setelah Fasilitas Pajak</t>
  </si>
  <si>
    <t>(</t>
  </si>
  <si>
    <t>-</t>
  </si>
  <si>
    <t>)</t>
  </si>
  <si>
    <t>Apakah terdapat kerugian fiskal yang dapat dikompensasikan ?</t>
  </si>
  <si>
    <t>Jika "Ya", isilah Lampiran 7</t>
  </si>
  <si>
    <t>Penghasilan Kena Pajak</t>
  </si>
  <si>
    <t>Apakah Wajib Pajak memperoleh Fasilitas Pengurangan Penghasilan Bruto untuk Kegiatan Penelitian dan Pengembangan Tertentu ?</t>
  </si>
  <si>
    <t>Tarif Pajak: (pilih salah satu)</t>
  </si>
  <si>
    <t>Tarif Ketentuan Umum sebagaimana Pasal 17 ayat (1) huruf b UU PPh</t>
  </si>
  <si>
    <t>Tarif Fasilitas sebagaimana Pasal 17 ayat (2b) UU PPh</t>
  </si>
  <si>
    <t>c.</t>
  </si>
  <si>
    <t>Tarif Fasilitas sebagaimana Pasal 31E ayat (1) UU PPh</t>
  </si>
  <si>
    <t>d.</t>
  </si>
  <si>
    <t>Tarif Lainnya</t>
  </si>
  <si>
    <t>Persentase tarif lainnya</t>
  </si>
  <si>
    <t>%</t>
  </si>
  <si>
    <t>Jika memilih c, isilah Lampiran 8</t>
  </si>
  <si>
    <t>PPh Terutang</t>
  </si>
  <si>
    <t>X</t>
  </si>
  <si>
    <t>))</t>
  </si>
  <si>
    <t>Jika pada angka 11 memilih huruf c, PPh Terutang diisi berdasarkan Lampiran 8</t>
  </si>
  <si>
    <t>E.</t>
  </si>
  <si>
    <t>PENGURANG PPh TERUTANG</t>
  </si>
  <si>
    <t>Apakah terdapat kredit pajak yang dibayarkan di luar negeri dan/atau dipotong/dipungut oleh pihak lain ?</t>
  </si>
  <si>
    <t>Jika "Ya", isilah Lampiran 3</t>
  </si>
  <si>
    <t>Angsuran PPh Pasal 25</t>
  </si>
  <si>
    <t>STP PPh Pasal 25 (hanya pokok pajak)</t>
  </si>
  <si>
    <t>Apakah Wajib Pajak memperoleh Fasilitas Pengurangan PPh Badan?</t>
  </si>
  <si>
    <t>Jika "Ya", isilah Lampiran 13C.</t>
  </si>
  <si>
    <t>F.</t>
  </si>
  <si>
    <t>PPh KURANG/LEBIH BAYAR</t>
  </si>
  <si>
    <t>PPh yang Kurang/Lebih Bayar</t>
  </si>
  <si>
    <t>Apakah terdapat Surat Keputusan Persetujuan Pengangsuran atau PenundaanPembayaran Pajak?</t>
  </si>
  <si>
    <t>Jika "Ya", isilah jumlah pajak yang dapat diangsur/ditunda pembayarannya</t>
  </si>
  <si>
    <t>c</t>
  </si>
  <si>
    <t>PPh yang masih harus dibayar atau lebih bayar</t>
  </si>
  <si>
    <t>17a</t>
  </si>
  <si>
    <t>17b</t>
  </si>
  <si>
    <t>Pembetulan (diisi apabila Status SPT adalah Pembetulan)</t>
  </si>
  <si>
    <t>PPh yang Kurang/Lebih Bayar pada SPT yang dibetulkan</t>
  </si>
  <si>
    <t>Ganti SPT Sebelumnya</t>
  </si>
  <si>
    <t>PPh yang Kurang/Lebih Bayar pada SPT karena pembetulan</t>
  </si>
  <si>
    <t>18a</t>
  </si>
  <si>
    <t>HALAMAN 2</t>
  </si>
  <si>
    <t>Lebih Bayar pada Angka 17 atau 18b mohon untuk: (pilih salah satu)</t>
  </si>
  <si>
    <t>dikembalikan melalui pemeriksaan</t>
  </si>
  <si>
    <t>dikembalikan melalui pengembalian pendahuluan</t>
  </si>
  <si>
    <t>Infromasi Rekening</t>
  </si>
  <si>
    <t>Nomor Rekening</t>
  </si>
  <si>
    <t>Nama Bank</t>
  </si>
  <si>
    <t>Nama Pemilik Rekening</t>
  </si>
  <si>
    <t>Jika Informasi rekening salah, silahkan melakukan perubahan data pada menu Registrasi</t>
  </si>
  <si>
    <t>G.</t>
  </si>
  <si>
    <t>PENGHITUNGAN ANGSURAN PPh PASAL 25 TAHUN BERJALAN</t>
  </si>
  <si>
    <t>Apakah Wajib Pajak merupakan Wajib Pajak tertentu yang harus menyampaikan Laporan Penghitungan Angsuran PPh Pasal 25 ?</t>
  </si>
  <si>
    <t>Jika "Tidak", isilah Lampiran 6</t>
  </si>
  <si>
    <t>Jika "Ya", pastikan Anda menyampaikan Laporan Penghitungan PPh Pasal 25 sesuai ketentuan perundang-undangan yang berlaku.</t>
  </si>
  <si>
    <t>H.</t>
  </si>
  <si>
    <t>PERNYATAAN TRANSAKSI</t>
  </si>
  <si>
    <t>Apakah terdapat transaksi yang dipengaruhi hubungan istimewa atau transaksi dengan pihak yang merupakan penduduk tax haven country ?</t>
  </si>
  <si>
    <t>Jika "Ya", isilah Lampiran 10A, 10B, dan 10C</t>
  </si>
  <si>
    <t>Apakah Wajib Pajak berkewajiban menyampaikan Dokumen Penentuan Harga Transfer?</t>
  </si>
  <si>
    <t>Jika "Ya", isilah Lampiran 10D</t>
  </si>
  <si>
    <t>Apakah terdapat penanaman modal pada perusahaan afiliasi?</t>
  </si>
  <si>
    <t>Jika "Ya", isilah Lampiran 2 Bagian B</t>
  </si>
  <si>
    <t>d</t>
  </si>
  <si>
    <t>Apakah Wajib Pajak memiliki utang dari pemilik modal atau perusahaan afiliasi, dan/atau piutang ke pemilik modal atau perusahaan afiliasi?</t>
  </si>
  <si>
    <t>e</t>
  </si>
  <si>
    <t>Apakah Wajib Pajak membebankan biaya penyusutan dan/atau amortisasi fiskal?</t>
  </si>
  <si>
    <t>Jika "Ya", isilah Lampiran 9</t>
  </si>
  <si>
    <t>f</t>
  </si>
  <si>
    <t>Apakah Wajib Pajak membebankan biaya promosi dan penjualan, penggantian atau imbalan dalam bentuk natura dan/atau kenikmatan, biaya entertainment, dan/atau piutang yang nyata-nyata tidak dapat ditagih?</t>
  </si>
  <si>
    <t>Jika "Ya", isilah Lampiran 11A</t>
  </si>
  <si>
    <t>g</t>
  </si>
  <si>
    <t>Apakah Wajib Pajak memperoleh fasilitas perpajakan dalam rangka penanaman modal di bidang-bidang usaha tertentu dan/atau daerah-daerah tertentu selain pengurangan penghasilan neto?</t>
  </si>
  <si>
    <t>h</t>
  </si>
  <si>
    <t>Apakah Wajib Pajak memiliki sisa lebih yang digunakan untuk pembangunan dan pengadaan saran dan prasarana ?</t>
  </si>
  <si>
    <t>Jika "Ya", isilah Lampiran 14</t>
  </si>
  <si>
    <t>i</t>
  </si>
  <si>
    <t>apakah Wajib Pajak menerima atau  memperoleh [enghasilan dividen dari luar negeri dan melaporkannya sebagai penghasilan yang tidak termasuk objek pajak ?</t>
  </si>
  <si>
    <t>Jika "Ya", sampaikan Laporan Realisasi Investasi secara terpisah sesuai dengan ketentuan perundang-undangan yang berlaku</t>
  </si>
  <si>
    <t>j</t>
  </si>
  <si>
    <t>Kelebihan PPh yang bersifat final atas penghasilan dari usaha dengan peredaran bruto tertentu yang dapat diajukan pengembalian pajak</t>
  </si>
  <si>
    <t>Diisi dari Lampiran 5 (jika terdapat kelebihan PPh, silahkan mengajukan permohonan pengembalian pajak secara terpisah)</t>
  </si>
  <si>
    <t>I.</t>
  </si>
  <si>
    <t>LAMPIRAN LAINNYA</t>
  </si>
  <si>
    <t>Laporan Keuangan/Laporan Keuangan yang Telah Diaudit</t>
  </si>
  <si>
    <t>Laporan Keuangan Konsolidasi untuk Wajib Pajak Grup</t>
  </si>
  <si>
    <t>Opini Audit</t>
  </si>
  <si>
    <t>Laporan Keuangan Konsolidasi untuk Bentuk Usaha Tetap</t>
  </si>
  <si>
    <t>Salinan Bukti Pembayaran atau Bukti Pemotongan sehubungan dengan Kredit Pajak Luar Negeri</t>
  </si>
  <si>
    <t>Bukti Jenis Penanaman Kembali dan Realisasi Penanaman kembali untuk Bentuk Usaha Tetap</t>
  </si>
  <si>
    <t>Surat Penghitungan Pengkreditan Pajak yang Telah Dibayar atau Dipotong/Dipungut atas Dividen yang Diterima dari Badan Usaha Luar Negeri (BULN) Non Bursa Terkendali Langsung, termasuk :</t>
  </si>
  <si>
    <t>Laporan Keuangan BULN Nonbursa Terkendali Langsung</t>
  </si>
  <si>
    <t>Salinan surat pemberitahuan tahuhnan PPh BULN Nonbursa Terkendali Langsung</t>
  </si>
  <si>
    <t>Penghitungan atau Rincian Laba Setelah Pajak dalam 5 (lima) Tahun Terakhir BULN Nonbursa Terkendali Langsung</t>
  </si>
  <si>
    <t>Bukti Pembayaran Pajak Penghasilan atau Bukti Pemotongan Pajak Penghasilan atas Dividen yang diterima dari BULN Nonbursa Terkendali Langsung</t>
  </si>
  <si>
    <t>Bukti Pembayaran Zakat atau Sumbangan Keagamaan yang Sifatnya Wajib</t>
  </si>
  <si>
    <t>Laporan Wajib Pajak Dalam Rangka Pemenuhan Persyaratan Penurunan Tarif PPh Bagi Wajib Pajak Badan Dalam Negeri yang Berbentuk Perseroan Terbuka</t>
  </si>
  <si>
    <t>Laporan Bulanan</t>
  </si>
  <si>
    <t>Laporan Kepemilikan Saham yang Memiliki Hubungan Istimewa</t>
  </si>
  <si>
    <t>Tanda Terima Elektronik Penyampaian Laporan per Negara (Country-by-Country Report)</t>
  </si>
  <si>
    <t>Dokumen Lainnya</t>
  </si>
  <si>
    <t>J.</t>
  </si>
  <si>
    <t>PERNYATAAN</t>
  </si>
  <si>
    <t>Dengan menyadari sepenuhnya akan segala akibatnya termasuk sanksi-sanksi sesuai dengan ketentuan perundang-undangan yang berlaku, saya menyatakan bahwa apa yang telah saya beritahukan di atas beserta lampiran-lampirannya adalah benar, lengkap dan jelas.</t>
  </si>
  <si>
    <t>PENANDA TANGAN SPT</t>
  </si>
  <si>
    <t>WAJIB PAJAK (WAKIL WAJIB PAJAK)</t>
  </si>
  <si>
    <t>KUASA WAJIB PAJAK</t>
  </si>
  <si>
    <t>TANGGAL</t>
  </si>
  <si>
    <t>BULAN</t>
  </si>
  <si>
    <t>TAHUN</t>
  </si>
  <si>
    <t>NIK/NPWP</t>
  </si>
  <si>
    <t>NAMA LENGKAP</t>
  </si>
  <si>
    <t>TANDA TANGAN</t>
  </si>
  <si>
    <t>JABATAN</t>
  </si>
  <si>
    <t>LAMPIRAN 1A</t>
  </si>
  <si>
    <t>PERHATIAN</t>
  </si>
  <si>
    <t>PAJAK PENGHASILAN (PPh) WAJIB PAJAK BADAN</t>
  </si>
  <si>
    <r>
      <rPr>
        <b/>
        <sz val="8"/>
        <color theme="1"/>
        <rFont val="Arial"/>
        <charset val="134"/>
      </rPr>
      <t xml:space="preserve">Formulir ini wajib diisi oleh Wajib Pajak badan dengan sektor usaha </t>
    </r>
    <r>
      <rPr>
        <b/>
        <sz val="8"/>
        <color rgb="FFFF0000"/>
        <rFont val="Arial"/>
        <charset val="134"/>
      </rPr>
      <t>SELAIN</t>
    </r>
    <r>
      <rPr>
        <b/>
        <sz val="8"/>
        <color theme="1"/>
        <rFont val="Arial"/>
        <charset val="134"/>
      </rPr>
      <t xml:space="preserve"> dari sektor usaha yang telah ditentukan pada Lampiran 1B s.d. Lampiran 1L</t>
    </r>
  </si>
  <si>
    <t>(DALAM MATA UANG RUPIAH)</t>
  </si>
  <si>
    <t>TAHUN PAJAK/BAGIAN PAJAK</t>
  </si>
  <si>
    <t>REKONSILIASI LAPORAN KEUANGAN</t>
  </si>
  <si>
    <t>LAPORAN LABA RUGI</t>
  </si>
  <si>
    <t>KODE AKUN</t>
  </si>
  <si>
    <t>NAMA AKUN</t>
  </si>
  <si>
    <t>NILAI (KOMERSIAL)</t>
  </si>
  <si>
    <t>TIDAK TERMASUK OBJEK PAJAK</t>
  </si>
  <si>
    <t>DIKENAKAN PPh BERSIFAT FINAL</t>
  </si>
  <si>
    <t>OBJEK PAJAK TIDAK FINAL</t>
  </si>
  <si>
    <t>PENYESUAIAN FISKAL POSITF</t>
  </si>
  <si>
    <t>PENYESUAIAN FISKAL NEGATIF</t>
  </si>
  <si>
    <t>KODE PENYUSUNAN FISKAL</t>
  </si>
  <si>
    <t>NILAI FISKAL (Sebelum Fasilitas Perpajakan)</t>
  </si>
  <si>
    <t>(1)</t>
  </si>
  <si>
    <t>(2)</t>
  </si>
  <si>
    <t>(3)</t>
  </si>
  <si>
    <t>(4)</t>
  </si>
  <si>
    <t>(5)</t>
  </si>
  <si>
    <t>(6) = (3) - (4) - (5)</t>
  </si>
  <si>
    <t>(7)</t>
  </si>
  <si>
    <t>(8)</t>
  </si>
  <si>
    <t>(9)</t>
  </si>
  <si>
    <t>(10)</t>
  </si>
  <si>
    <t>Penjualan</t>
  </si>
  <si>
    <t>Penjualan Domestik</t>
  </si>
  <si>
    <t>Penjualan Ekspor</t>
  </si>
  <si>
    <t>Penjualan Bruto</t>
  </si>
  <si>
    <t>Dikurangi</t>
  </si>
  <si>
    <t>Retur</t>
  </si>
  <si>
    <t>Potongan Penjualan</t>
  </si>
  <si>
    <t>Penyesuaian Penjualan</t>
  </si>
  <si>
    <t>Penjualan Bersih</t>
  </si>
  <si>
    <t>Harga Pokok Penjualan (HPP)</t>
  </si>
  <si>
    <t>Pembelian</t>
  </si>
  <si>
    <t>Beban Pengangkutan</t>
  </si>
  <si>
    <t>Beban Lainnya</t>
  </si>
  <si>
    <t>Persediaan - Awal</t>
  </si>
  <si>
    <t>Dikurangi Persediaan - Akhir</t>
  </si>
  <si>
    <t>Jumlah HPP</t>
  </si>
  <si>
    <t>Laba Kotor</t>
  </si>
  <si>
    <t>Pendapatan Usaha Lainnya</t>
  </si>
  <si>
    <t>Beban Usaha</t>
  </si>
  <si>
    <t>Gaji, Tunjangan, Bonus, Honorarium, THR, dsb</t>
  </si>
  <si>
    <t>Beban Imbalan Kerja Lainnya</t>
  </si>
  <si>
    <t>Beban Transportasi</t>
  </si>
  <si>
    <t>Beban Sewa</t>
  </si>
  <si>
    <t>Beban Penyusutan dan Amortisasi</t>
  </si>
  <si>
    <t>Beban Bunga</t>
  </si>
  <si>
    <t>Beban sehubungan dengan Jasa</t>
  </si>
  <si>
    <t>Beban Penurunan Nilai</t>
  </si>
  <si>
    <t>Beban Royalti</t>
  </si>
  <si>
    <t>Beban Pemasaran atau Promosi</t>
  </si>
  <si>
    <t>Beban Entertainment</t>
  </si>
  <si>
    <t>Beban Umum dan Administrasi</t>
  </si>
  <si>
    <t>Beban Usaha Lainnya</t>
  </si>
  <si>
    <t>Jumlah Beban Usaha</t>
  </si>
  <si>
    <t>Laba (Rugi) Usaha</t>
  </si>
  <si>
    <t>Pendapatan Non Usaha</t>
  </si>
  <si>
    <t>Keuntungan Selisih Kurs</t>
  </si>
  <si>
    <t>Keuntungan Penjualan Aset selain Persediaan</t>
  </si>
  <si>
    <t>Pendapatan Bunga</t>
  </si>
  <si>
    <t>Pendapatan Non Usaha Lainnya</t>
  </si>
  <si>
    <t>Jumlah Pendapatan Non Usaha</t>
  </si>
  <si>
    <t>Beban Non Usaha</t>
  </si>
  <si>
    <t>Kerugian Penjualan Aset selain Persediaan</t>
  </si>
  <si>
    <t>Sumbangan</t>
  </si>
  <si>
    <t>Kerugian Selisih Kurs</t>
  </si>
  <si>
    <t>Beban Non Usaha Lainnya</t>
  </si>
  <si>
    <t>Jumlah Beban Non Usaha</t>
  </si>
  <si>
    <t>Laba (Rugi) Non Usaha</t>
  </si>
  <si>
    <t>Laba (Rugi) Sebelum Pajak</t>
  </si>
  <si>
    <t>A.10</t>
  </si>
  <si>
    <t>Pindahkan Nilai Fiskal (Sebelum Fasilitas Perpajakan) Laba (Rugi) Sebelum Pajak pada Bagian A kolom 10 (A.10) ke Formulir Induk Bagian D angka 4.</t>
  </si>
  <si>
    <t>LAPORAN POSISI KEUANGAN</t>
  </si>
  <si>
    <t>NILAI</t>
  </si>
  <si>
    <t>Aset Lancar</t>
  </si>
  <si>
    <t>Liabilitas Jangka Pendek</t>
  </si>
  <si>
    <t>Kas dan Setara Kas</t>
  </si>
  <si>
    <t>Utang Usaha - Pihak Ketiga</t>
  </si>
  <si>
    <t>Piutang Usaha - Pihak Ketiga</t>
  </si>
  <si>
    <t>Utang Usaha - Pihak yang Memiliki Hubungan Istimewa</t>
  </si>
  <si>
    <t>Piutang Usaha - Pihak yang mempunyai Hubungan Istimewa</t>
  </si>
  <si>
    <t>Utang Bunga</t>
  </si>
  <si>
    <t>Piutang Lainnya - Pihak Ketiga</t>
  </si>
  <si>
    <t>Liabilitas Kontrak</t>
  </si>
  <si>
    <t>Piutang Lainnya - Piha yang Mempunyai Hubungan Istimewa</t>
  </si>
  <si>
    <t>Liabilitas Sewa Jangka Pendek</t>
  </si>
  <si>
    <t>Cadangan Kerugian Penurunan Nilai - Aset Lancar</t>
  </si>
  <si>
    <t>Utang Pajak</t>
  </si>
  <si>
    <t>Aset Kontrak</t>
  </si>
  <si>
    <t>Utang Dividen</t>
  </si>
  <si>
    <t>Investasi</t>
  </si>
  <si>
    <t>Beban Yang Masih Harus Dibayar</t>
  </si>
  <si>
    <t>Persediaan</t>
  </si>
  <si>
    <t>Utang Bank Jangka Pendek</t>
  </si>
  <si>
    <t>Beban Dibayar Di Muka</t>
  </si>
  <si>
    <t>Utang Jangka Panjang yang Jatuh Tempo dalam Satu Tahun</t>
  </si>
  <si>
    <t>Pajak Dibayar Di Muka</t>
  </si>
  <si>
    <t>Pendapatan Diterima di Muka</t>
  </si>
  <si>
    <t>Aset yang Dimiliki untuk Dijual</t>
  </si>
  <si>
    <t>Liabilitas Jangka Pendek Lainnya</t>
  </si>
  <si>
    <t>Uang Muka</t>
  </si>
  <si>
    <t>Liabilitas Jangka Panjang</t>
  </si>
  <si>
    <t>Aset Lancar Lainnya</t>
  </si>
  <si>
    <t>Utang bank Jangka Panjang</t>
  </si>
  <si>
    <t>Aset Tidak Lancar</t>
  </si>
  <si>
    <t>Utang Jangka Panjang - Pihak Ketiga</t>
  </si>
  <si>
    <t>Piutang Jangka Panjang</t>
  </si>
  <si>
    <t>Utang Jangka Panjang - Pihak yang Mempunyai Hubungan Istimewa</t>
  </si>
  <si>
    <t>Properti Investasi</t>
  </si>
  <si>
    <t>Liabilitas Sewa Jangka Panjang</t>
  </si>
  <si>
    <t>Tanah dan Bangunan</t>
  </si>
  <si>
    <t>Liabilitas Imbalan Kerja</t>
  </si>
  <si>
    <t>Dikurangi: Akumulasi Penyusutan - Tanah dan Bangunan</t>
  </si>
  <si>
    <t>Liabilitas Pajak Tanguhan</t>
  </si>
  <si>
    <t>Aset Tetap Lainnya</t>
  </si>
  <si>
    <t>Liabilitas Jangka Panjang Lainnya</t>
  </si>
  <si>
    <t>Dikurangi: Akumulasi Penyusutan - Aset Tetap Lainnya</t>
  </si>
  <si>
    <t>Jumlah Liabilitas</t>
  </si>
  <si>
    <t>Aset Biologis</t>
  </si>
  <si>
    <t>Ekuitas</t>
  </si>
  <si>
    <t>Aset Hak Guna</t>
  </si>
  <si>
    <t>Modal Saham</t>
  </si>
  <si>
    <t>Dikurangi: Akumulasi Penyusutan - Aset Hak Guna</t>
  </si>
  <si>
    <t>Tambahan Modal Disetor</t>
  </si>
  <si>
    <t>Investasi pada Perusahaan Asosiasi, Ventura Bersama dan Anak Perusahaan</t>
  </si>
  <si>
    <t>Laba Ditahan</t>
  </si>
  <si>
    <t>Investasi Jangka Panjang Lainnya</t>
  </si>
  <si>
    <t>Pendapatan Komprehensif Lainnya</t>
  </si>
  <si>
    <t>Aset Tak Berwujud</t>
  </si>
  <si>
    <t>Ekuitas Lainnya</t>
  </si>
  <si>
    <t>Dikurangi: Akumulasi Penyusutan - Aset Tak Berwujud</t>
  </si>
  <si>
    <t>Jumlah Ekuitas</t>
  </si>
  <si>
    <t>Aset Pajak Tangguhan</t>
  </si>
  <si>
    <t>Jumlah LIabilitas dan Ekuitas</t>
  </si>
  <si>
    <t>Klaim atas Pengembalian Pajak</t>
  </si>
  <si>
    <t>Cadangan Kerugian Penurunan Nilai - Aset Tidak Lancar</t>
  </si>
  <si>
    <t>Aset Tidak Lancar Lainnya</t>
  </si>
  <si>
    <t>Jumlah Aset</t>
  </si>
  <si>
    <t>LAMPIRAN 1C</t>
  </si>
  <si>
    <t>Formulir ini wajib diisi oleh Wajib Pajak badan sektor PERDAGANGAN</t>
  </si>
  <si>
    <t>Jumlah Liabilitas Jangka Pendek</t>
  </si>
  <si>
    <t>Jumlah Aset Lancar</t>
  </si>
  <si>
    <t>Utang Bank Jangka Panjang</t>
  </si>
  <si>
    <t>Liabilitas Pajak Tangguhan</t>
  </si>
  <si>
    <t>Aktiva Pajak Tangguhan</t>
  </si>
  <si>
    <t>Jumlah Aset Tidak Lancar</t>
  </si>
  <si>
    <t>LAMPIRAN 1D</t>
  </si>
  <si>
    <t>Formulir ini wajib diisi oleh Wajib Pajak badan sektor JASA</t>
  </si>
  <si>
    <t>Pendapatan</t>
  </si>
  <si>
    <t>Pendapatan Jasa</t>
  </si>
  <si>
    <t>Biaya Pokok Jasa</t>
  </si>
  <si>
    <t>Aset Tetap dan Inventaris</t>
  </si>
  <si>
    <t>Dikurangi: Akumulasi Penyusutan - Aset Tetap dan Inventaris</t>
  </si>
  <si>
    <t>LAMPIRAN 2</t>
  </si>
  <si>
    <t>Formulir ini wajib diisi oleh seluruh Wajib Pajak Badan</t>
  </si>
  <si>
    <t>DAFTAR KEPEMILIKAN</t>
  </si>
  <si>
    <t>DAFTAR PEMEGANG SAHAM/PEMILIK MODAL DAN JUMLAH DIVIDEN/PEMBAGIAN LABA YANG DIBAGIKAN SERTA DAFTAR SUSUNAN PENGURUS DAN KOMISARIS</t>
  </si>
  <si>
    <t>NO.</t>
  </si>
  <si>
    <t>ALAMAT</t>
  </si>
  <si>
    <t>NEGARA</t>
  </si>
  <si>
    <t>NPWP/NIK</t>
  </si>
  <si>
    <t>MODAL DISETOR</t>
  </si>
  <si>
    <t>DIVIDEN/PEMBAGIAN LABA</t>
  </si>
  <si>
    <t>NILAI (Rp)</t>
  </si>
  <si>
    <t>(Rp)</t>
  </si>
  <si>
    <t>(6)</t>
  </si>
  <si>
    <t>JUMLAH</t>
  </si>
  <si>
    <t>DAFTAR PENYERTAAN MODAL, UTANG, DAN/ATAU PIUTANG PADA PERUSAHAAN AFILIASI</t>
  </si>
  <si>
    <t>PENYERTAAN MODAL</t>
  </si>
  <si>
    <t>UTANG</t>
  </si>
  <si>
    <t>PIUTANG</t>
  </si>
  <si>
    <t>BUNGA/TAHUN</t>
  </si>
  <si>
    <t>(11)</t>
  </si>
  <si>
    <t>(12)</t>
  </si>
  <si>
    <t>TOTAL</t>
  </si>
  <si>
    <t>HOME</t>
  </si>
  <si>
    <t>LAMPIRAN 3</t>
  </si>
  <si>
    <t>Formulir ini digunakan untuk Wajib Pajak yang memperoleh/menerima penghasilan yang dipotong/dipungut PPh oleh pihak lain</t>
  </si>
  <si>
    <t>DAFTAR PPh YANG DIPOTONG/DIPUNGUT OLEH PIHAK LAIN</t>
  </si>
  <si>
    <t>PENGHASILAN DARI LUAR NEGERI</t>
  </si>
  <si>
    <t>PEMOTONG PAJAK</t>
  </si>
  <si>
    <t>TANGGAL PAJAK PENGHASILAN TERUTANG/DIBAYAR/DIPOTONG</t>
  </si>
  <si>
    <t>JENIS PENGHASILAN</t>
  </si>
  <si>
    <t>PENGHASILAN NETO (Rp)</t>
  </si>
  <si>
    <t>PAJAK PENGHASILAN TERUTANG/DIBAYAR/DIPOTONG DI LUAR NEGERI</t>
  </si>
  <si>
    <t>KREDIT PAJAK YANG DAPAT DIPERHITUNGKAN (Rp)</t>
  </si>
  <si>
    <t>MATA UANG</t>
  </si>
  <si>
    <t>NILAI (DALAM MATA UANG ASING)</t>
  </si>
  <si>
    <t>PENGEMBALIAN PERNGURANGAN KREDIT PAJAK LUAR NEGERI (PPh PASAL 24) YANG TELAH DIPERHITUNGKAN TAHUN LALU</t>
  </si>
  <si>
    <t>JUMLAH KREDIT PAJAK LUAR NGERI YANG DAPAT DIPERHITUNGKAN TAHUN BERJALAN</t>
  </si>
  <si>
    <t>PPh YANG DIPOTONG/DIPUNGUT PIHAK LAIN</t>
  </si>
  <si>
    <t>PEMOTONG/PEMUNGUT PAJAK</t>
  </si>
  <si>
    <t>JENIS PAJAK</t>
  </si>
  <si>
    <t>DASAR PENGENAAN PAJAK</t>
  </si>
  <si>
    <t>PPh YANG DIPOTONG/DIPUNGUT</t>
  </si>
  <si>
    <t>BUKTI PEMOTONGAN/SSP/SSPCP</t>
  </si>
  <si>
    <t>NOMOR</t>
  </si>
  <si>
    <t>KREDIT PAJAK LUAR NEGERI (Diisi dari Bagian A.c. Kolom (10))</t>
  </si>
  <si>
    <t xml:space="preserve">JUMLAH KREDIT PAJAK  </t>
  </si>
  <si>
    <t>Pindahkan JUMLAH KREDIT PAJAK kolom 6 field C ke Formulir Induk Bagian E.13</t>
  </si>
  <si>
    <t>LAMPIRAN 4</t>
  </si>
  <si>
    <t>Formulir ini digunakan untuk Wajib Pajak yang menerima penghasilan yang dikenakan PPh yang bersifat Final dan penghasilan yang tidak termasuk objek pajak</t>
  </si>
  <si>
    <t>PENGHASILAN YANG DIKENAKAN PPh YANG BERSIFAT FINAL DAN PENGHASILAN YANG TIDAK TERMASUK OBJEK PAJAK</t>
  </si>
  <si>
    <t>PENGHASILAN YANG DIKENAKAN PPh YANG BERSIFAT FINAL</t>
  </si>
  <si>
    <t>KODE OBJEK PAJAK</t>
  </si>
  <si>
    <t>OBJEK PAJAK</t>
  </si>
  <si>
    <t>TARIF</t>
  </si>
  <si>
    <t>PPh TERUTANG</t>
  </si>
  <si>
    <t>(%)</t>
  </si>
  <si>
    <t>A.6</t>
  </si>
  <si>
    <t>Pindahkan hasil penjumlahan Bagian A kolom 4 (A.6) ke Formulir Induk Bagian C.2</t>
  </si>
  <si>
    <t>PENGHASILAN YANG TIDAK TERMASUK OBJEK PAJAK</t>
  </si>
  <si>
    <t>KODE JENIS PENGHASILAN</t>
  </si>
  <si>
    <t>SUMBER PENGHASILAN</t>
  </si>
  <si>
    <t>PENGHASILAN BRUTO</t>
  </si>
  <si>
    <t>B.5</t>
  </si>
  <si>
    <t>Pindahkan hasil penjumlahan Bagian B kolom 5 (B.5) ke Formulir Induk bagian C.3</t>
  </si>
  <si>
    <t>LAMPIRAN 5</t>
  </si>
  <si>
    <t>Formulir ini digunakan untuk Wajib Pajak yang menerima atau memperoleh penghasilan dari usaha dengan peredaran bruto tertentu yang dikenakan PPh yang bersifat final</t>
  </si>
  <si>
    <t>REKAPITULASI PEREDARAN BRUTO</t>
  </si>
  <si>
    <t>ALAMAT TEMPAT KEGIATAN USAHA</t>
  </si>
  <si>
    <t>NOMOR IDENTITAS TEMPAT KEGIATAN USAHA</t>
  </si>
  <si>
    <t>NAMA TKU</t>
  </si>
  <si>
    <t>KELURAHAN/DESA</t>
  </si>
  <si>
    <t>KECAMATAN</t>
  </si>
  <si>
    <t>KOTA/KABUPATEN</t>
  </si>
  <si>
    <t>PROVINSI</t>
  </si>
  <si>
    <t>REKAPITULASI PEREDARAN BRUTO DAN PPh YANG TELAH DIBAYAR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</si>
  <si>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</si>
  <si>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</si>
  <si>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</si>
  <si>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</si>
  <si>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</si>
  <si>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</si>
  <si>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</si>
  <si>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</si>
  <si>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</si>
  <si>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</si>
  <si>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</si>
  <si>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</si>
  <si>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(13)</t>
  </si>
  <si>
    <t>(14)</t>
  </si>
  <si>
    <t>JUMLAH PEREDARAN BRUTO</t>
  </si>
  <si>
    <t>a.15</t>
  </si>
  <si>
    <t>JUMLAH PPh BERSIFAT FINAL TERUTANG</t>
  </si>
  <si>
    <t>JUMLAH PPh BERSIFAT FINAL YANG DISETOR SENDIRI</t>
  </si>
  <si>
    <t>JUMLAH PPh BERSIFAT FINAL YANG DIPOTONG/DIPUNGUT PIHAK LAIN</t>
  </si>
  <si>
    <t>SELISIH</t>
  </si>
  <si>
    <t>e.15</t>
  </si>
  <si>
    <t>SELISIH PADA SPT YANG DIBETULKAN</t>
  </si>
  <si>
    <t>SELISIH KARENA PEMBETULAN</t>
  </si>
  <si>
    <t>g.15</t>
  </si>
  <si>
    <t>LAMPIRAN 6</t>
  </si>
  <si>
    <t>Formulir ini digunakan untuk Wajib Pajak yang diwajibkan melakukan penyetoran PPh Pasal 25</t>
  </si>
  <si>
    <t>ANGSURAN PPh TAHUN PAJAK BERJALAN</t>
  </si>
  <si>
    <t>PENGHASILAN YANG MENJADI DASAR PENGHITUNGAN ANGSURAN</t>
  </si>
  <si>
    <t>KOMPENSASI KERUGIAN
Diisi dari Formulir Lampiran 7 Jumlah Kompensasi Kerugian Fiskal Tahun Pajak Berjalan)</t>
  </si>
  <si>
    <t>PENGHASILAN KENA PAJAK</t>
  </si>
  <si>
    <t>PPh YANG TERUTANG</t>
  </si>
  <si>
    <t>Tarif</t>
  </si>
  <si>
    <t>KREDIT PAJAK TAHUN PAJAK YANG LALU ATAS PENGHASILAN YANG TERMASUK DALAM ANGKA 1 YANG DIPOTONG/DIPUNGUT PIHAK LAIN</t>
  </si>
  <si>
    <t>PPh YANG HARUS DI BAYAR SENDIRI</t>
  </si>
  <si>
    <t>ANGSURAN PPh PASAL 25</t>
  </si>
  <si>
    <t>1/</t>
  </si>
  <si>
    <t>*</t>
  </si>
  <si>
    <t>Pindahkan nilai pada angka 7 ke Formulir Induk bagian G</t>
  </si>
  <si>
    <t>*)</t>
  </si>
  <si>
    <t>Diisi dengan jumlah Masa Pajak dalam Tahun Pajak/Bagian Tahun Pajak SPT yang Dilaporkan</t>
  </si>
  <si>
    <t>LAMPIRAN 7</t>
  </si>
  <si>
    <t>Formulir ini digunakan untuk Wajib Pajak yang memiliki Kerugian Fiskal yang dapat dikompensasikan</t>
  </si>
  <si>
    <t>PENGHITUNGAN KOMPENSASI KERUGIAN FISKAL</t>
  </si>
  <si>
    <t>LABA (RUGI) NETO FISKAL</t>
  </si>
  <si>
    <t>KOMPENSASI KERUGIAN FISKAL</t>
  </si>
  <si>
    <t>TAHUN/BAGIAN TAHUN PAJAK</t>
  </si>
  <si>
    <t>TAHUN PAJAK INI</t>
  </si>
  <si>
    <t>TAHUN PAJAK BERJALAN</t>
  </si>
  <si>
    <t>(Y-4)</t>
  </si>
  <si>
    <t>(Y-3)</t>
  </si>
  <si>
    <t>(Y-2)</t>
  </si>
  <si>
    <t>(Y-1)</t>
  </si>
  <si>
    <r>
      <rPr>
        <b/>
        <sz val="9"/>
        <color theme="1"/>
        <rFont val="Arial"/>
        <charset val="134"/>
      </rPr>
      <t>NILAI (Rp)</t>
    </r>
    <r>
      <rPr>
        <b/>
        <sz val="9"/>
        <color rgb="FFFF0000"/>
        <rFont val="Arial"/>
        <charset val="134"/>
      </rPr>
      <t>*</t>
    </r>
  </si>
  <si>
    <r>
      <rPr>
        <b/>
        <sz val="9"/>
        <color theme="1"/>
        <rFont val="Arial"/>
        <charset val="134"/>
      </rPr>
      <t>NILAI (Rp)</t>
    </r>
    <r>
      <rPr>
        <b/>
        <sz val="9"/>
        <color rgb="FFFF0000"/>
        <rFont val="Arial"/>
        <charset val="134"/>
      </rPr>
      <t>**</t>
    </r>
  </si>
  <si>
    <t>Jumlah Kolom (8) digunakan sebagai pengurang penghasilan neto pada Formulir Induk bagian D.8</t>
  </si>
  <si>
    <t>**</t>
  </si>
  <si>
    <t>Jumlah Kolom (9) digunakan sebagai pengurang penghasilan neto pada Formulir Lampiran 6 Angka 2</t>
  </si>
  <si>
    <t>LAMPIRAN 8</t>
  </si>
  <si>
    <t>Formulir ini digunakan untuk Wajib Pajak yang berhak menggunakan tarif sebagaimana Pasal 31E ayat (1) UU PPh</t>
  </si>
  <si>
    <r>
      <rPr>
        <b/>
        <sz val="9"/>
        <color theme="0"/>
        <rFont val="Arial"/>
        <charset val="134"/>
      </rPr>
      <t>PENGHITUNGAN FASILITAS PENGURANGAN TARIF PPh BAGI WAJIB PAJAKJ BADAN DALAM NEGERI BERDASARKAN PASAL 31 E AYAT (1) UNDANG-UNDANG PPh</t>
    </r>
    <r>
      <rPr>
        <b/>
        <sz val="9"/>
        <color rgb="FFFF0000"/>
        <rFont val="Arial"/>
        <charset val="134"/>
      </rPr>
      <t>*)</t>
    </r>
  </si>
  <si>
    <t>NILAI (Rupiah)</t>
  </si>
  <si>
    <t>PEREDARAN BRUTO</t>
  </si>
  <si>
    <t>Jumlah Peredaran Bruto</t>
  </si>
  <si>
    <r>
      <rPr>
        <b/>
        <sz val="9"/>
        <color theme="1"/>
        <rFont val="Arial"/>
        <charset val="134"/>
      </rPr>
      <t xml:space="preserve">Penghasilan kena Pajak dari Bagian Peredaran Bruto yang memperoleh Fasilitas </t>
    </r>
    <r>
      <rPr>
        <b/>
        <sz val="9"/>
        <color rgb="FFFF0000"/>
        <rFont val="Arial"/>
        <charset val="134"/>
      </rPr>
      <t>**)</t>
    </r>
  </si>
  <si>
    <t>((Rp 4.800.000.000 / Jumlah Peredaran Bruto) X Penghasilan Kena Pajak)</t>
  </si>
  <si>
    <t>Penghasilan Kena Pajak dari Bagian Peredaran Bruto yang Tidak memperoleh Fasilitas</t>
  </si>
  <si>
    <t>(Penghasilan Kena Pajak - Penghasilan Kena Pajak dari Bagian Peredaran Bruto yang memperoleh Fasilitas)</t>
  </si>
  <si>
    <t>PPh Terutang atas Penghasilan Kena Pajak dari Bagian Peredaran Bruto yang memperoleh Fasilitas</t>
  </si>
  <si>
    <t>( 50 % X Tarif Pasal 17 ayat (1) X Penghasilan Kena Pajak dari bagian peredaran bruto yang memperoleh fasilitas)</t>
  </si>
  <si>
    <t>PPh Terutang atas Penghasilan Kena Pajak dari Bagian Peredaran Bruto yang tidak memperoleh Fasilitas</t>
  </si>
  <si>
    <t>(Tarif Pasal 17 ayat (1) huruf b UU PPh X Penghasilan Kena Pajak dari Bagian Peredaran bruto yang memperoleh fasilitas)</t>
  </si>
  <si>
    <t>JUMLAH PPh TERUTANG</t>
  </si>
  <si>
    <t>3a</t>
  </si>
  <si>
    <t>+</t>
  </si>
  <si>
    <t>3b</t>
  </si>
  <si>
    <t>Pindahkan Jumlah PPh Terutang ke Formulir Induk bagian D.12</t>
  </si>
  <si>
    <t>Keterangan :</t>
  </si>
  <si>
    <t>Penghitungan ini hanya di buat oleh Wajib Pajak Badan Dalam Negeri dengan peredaran bruto sampai dengan Rp 50.000.000.000,00 (Lima Puluh miliar Rupiah)</t>
  </si>
  <si>
    <t>**)</t>
  </si>
  <si>
    <t>Dalam hal peredaran bruto sampai dengan Rp 4.800.000.000,00 (Empat Miliar Delapan Ratus Juta Rupiah), seluruh Penghasilan Kena Pajak merupakan Penghasilan Kena Pajak dari bagian peredaran bruto yang memperoleh fasilitas</t>
  </si>
  <si>
    <t>LAMPIRAN 9</t>
  </si>
  <si>
    <t>Formulir ini wajib diisi oleh Wajib Pajak yang membebankan biaya penyusutan dan/atau amortisasi</t>
  </si>
  <si>
    <t>DAFTAR PENYUSUTAN DAN AMORTISASI FISKAL</t>
  </si>
  <si>
    <t>KODE HARTA</t>
  </si>
  <si>
    <t>KELOMPOK/JENIS HARTA</t>
  </si>
  <si>
    <t>BULAN/TAHUN PEROLEHAN</t>
  </si>
  <si>
    <t>BIAYA PEROLEHAN</t>
  </si>
  <si>
    <t>NISALI SISA BUKU FISKAL PADA AWAL TAHUN</t>
  </si>
  <si>
    <t>METODE PENYUSUTAN/AMORTISASI</t>
  </si>
  <si>
    <t>PENYUSUTAN/AMORTISASI FISKAL TAHUN INI</t>
  </si>
  <si>
    <t>KETERANGAN</t>
  </si>
  <si>
    <t>KOMERSIAL</t>
  </si>
  <si>
    <t>FISKAL</t>
  </si>
  <si>
    <t>HARTA BERWUJUD</t>
  </si>
  <si>
    <t>Kelompok 1</t>
  </si>
  <si>
    <t>Kelompok 2</t>
  </si>
  <si>
    <t>Kelompok 3</t>
  </si>
  <si>
    <t>Kelompok 4</t>
  </si>
  <si>
    <t>II.</t>
  </si>
  <si>
    <t>KELOMPOK BANGUNAN</t>
  </si>
  <si>
    <t>Permanen</t>
  </si>
  <si>
    <t>Tidak Permanen</t>
  </si>
  <si>
    <t>JUMLAH PENYUSUTAN FISKAL</t>
  </si>
  <si>
    <t>JUMLAH PENYUSUTAN KOMERSIAL</t>
  </si>
  <si>
    <t>SELISIH PENYUSUTAN (a - b)</t>
  </si>
  <si>
    <t>III.</t>
  </si>
  <si>
    <t>HARTA TAK BERWUJUD</t>
  </si>
  <si>
    <t>Kelompok Lain</t>
  </si>
  <si>
    <t>e.</t>
  </si>
  <si>
    <t>JUMLAH AMORTISASI FISKAL</t>
  </si>
  <si>
    <t>f.</t>
  </si>
  <si>
    <t>JUMLAH AMORTISASI KOMERSIAL</t>
  </si>
  <si>
    <t>g.</t>
  </si>
  <si>
    <t>SELISIH AMORTISASI (d - e)</t>
  </si>
  <si>
    <t>LAMPIRAN 11A</t>
  </si>
  <si>
    <t>Formulir ini diisi oleh Wajib Pajak yang wajib menyampaikan rincian atas biaya-biaya tertentu</t>
  </si>
  <si>
    <t>RINCIAN BIAYA TERTENTU</t>
  </si>
  <si>
    <t>DAFTAR NOMINATIF/BIAYA PROMOSI DAN PENJUALAN SERTA PENGGANTIAN ATAU IMBALAN DALAM BENTUK NATURA DAN/ATAU KENIKMATAN</t>
  </si>
  <si>
    <t>DATA PENERIMA</t>
  </si>
  <si>
    <t>PEMOTONGAN/PEMUNGUTAN PPh</t>
  </si>
  <si>
    <t>NOMOR IDENTITAS</t>
  </si>
  <si>
    <t>JENIS BIAYA</t>
  </si>
  <si>
    <t>JUMLAH PPh</t>
  </si>
  <si>
    <t>NOMOR BUKTI PEMOTONGAN/PEMUNGUTAN</t>
  </si>
  <si>
    <t>(NPWP/NIK/Lain-lain)</t>
  </si>
  <si>
    <t>DAFTAR NOMINATIF BIAYA ENTERTAINMEN</t>
  </si>
  <si>
    <t>PEMBERIAN ENTERTAINMENT</t>
  </si>
  <si>
    <t>RELASI USAHA YANG DIBERIKAN ENTERTAINMENT</t>
  </si>
  <si>
    <t>TEMPAT</t>
  </si>
  <si>
    <t>JENIS</t>
  </si>
  <si>
    <t>NAMA PERUSAHAAN</t>
  </si>
  <si>
    <t>JENIS USAHA</t>
  </si>
  <si>
    <t>DAFTAR PIUTANG YANG NYATA-NYATA TIDAK DAPAT DITAGIH</t>
  </si>
  <si>
    <t>PLAFON PIUTANG</t>
  </si>
  <si>
    <t>PIUTANG YANG NYATA-NYATA TIDAK DAPAT DITAGIH</t>
  </si>
  <si>
    <t>METODE PEMBEBANAN</t>
  </si>
  <si>
    <t>JENIS DIKUMEN PEMBUKTIAN YANG DIISYARATKAN</t>
  </si>
  <si>
    <t>IV.</t>
  </si>
  <si>
    <t>RINCIAN BAGI WAJIB PAJAK PEMBERI NATURA DAN/ATAU KENIKMATAN</t>
  </si>
  <si>
    <t>IV.A</t>
  </si>
  <si>
    <t>DAFTAR SARANA DAN FASILITAS SERTA PENYUSUTANNYA</t>
  </si>
  <si>
    <t>JENIS HARTA BERWUJUD</t>
  </si>
  <si>
    <t>TAHUN PEROLEHAN</t>
  </si>
  <si>
    <t>NILAI PEROLEHAN</t>
  </si>
  <si>
    <t>PENYUSUTAN</t>
  </si>
  <si>
    <t>S.D. TAHUN LALU</t>
  </si>
  <si>
    <t>TAHUN INI</t>
  </si>
  <si>
    <t>S.D. TAHUN INI</t>
  </si>
  <si>
    <t>IV.B</t>
  </si>
  <si>
    <t>RINCIAN PENGGANTIAN ATAU IMBALAN DALAM BENTUK NATURA DAN/ATAU KENIKMATAN YANG DIBERIKAN BERKENAAN DENGAN PELAKSANAAN PEKERJAAN DI DAERAH TERTENTU</t>
  </si>
  <si>
    <t>Alamat Lokasi</t>
  </si>
  <si>
    <t>:</t>
  </si>
  <si>
    <t>Keputusan Penetapan Daerah Tertentu</t>
  </si>
  <si>
    <t>Nomor</t>
  </si>
  <si>
    <t>Tanggal</t>
  </si>
  <si>
    <t>Keputusan Perpanjangan Penetapan Daerah Tertentu</t>
  </si>
  <si>
    <t>Biaya yang Dikeluarkan untuk:</t>
  </si>
  <si>
    <t>tempat tinggal, termasuk perumahan untuk pegawai dan keluarganya</t>
  </si>
  <si>
    <t>pelayanan kesehatan</t>
  </si>
  <si>
    <t>pendidikan bagi pegawai dan keluarganya</t>
  </si>
  <si>
    <t>peribadatan</t>
  </si>
  <si>
    <t>pengangkutan bagi pegawai dan keluarganya</t>
  </si>
  <si>
    <t>olahraga bagi pegawai dan keluarganya, tidak termasuk golf, power boating, pacuan kuda, dan terbang layang</t>
  </si>
  <si>
    <t>Jumlah Biaya yang di keluarkan</t>
  </si>
  <si>
    <t>4a</t>
  </si>
  <si>
    <t>4b</t>
  </si>
  <si>
    <t>4c</t>
  </si>
  <si>
    <t>4d</t>
  </si>
  <si>
    <t>4e</t>
  </si>
  <si>
    <t>4f</t>
  </si>
  <si>
    <t>V.</t>
  </si>
  <si>
    <t>DAFTAR DEBITUR NON-PERFORMING LOAN</t>
  </si>
  <si>
    <t>NAMA DEBITUR</t>
  </si>
  <si>
    <t>NILAI KREDIT KURANG LANCAR</t>
  </si>
  <si>
    <t>JUMLAH BUNGA PADA TAHUN BUKU</t>
  </si>
  <si>
    <t>KATEGORI</t>
  </si>
  <si>
    <t>AWAL TAHUN BUKU</t>
  </si>
  <si>
    <t>AKHIR TAHUN BUKU</t>
  </si>
  <si>
    <t>(AKRUAL)</t>
  </si>
  <si>
    <t>LAMPIRAN 11B</t>
  </si>
  <si>
    <t>Formulir ini diisi oleh semua Wajib Pajak Badan</t>
  </si>
  <si>
    <t>PENGHITUNGAN BIAYA PINJAMAN YANG DAPAT DIBEBANKAN UNTUK KEPERLUAN PENGHITUNGAN PAJAK PENGHASILAN</t>
  </si>
  <si>
    <t>PENGHITUNGAN EBITDA</t>
  </si>
  <si>
    <t>JUMLAH (Rp)</t>
  </si>
  <si>
    <t>PENGHASILAN NETO KOMERSIAL</t>
  </si>
  <si>
    <t>BEBAN PENYUSUTAN DAN AMORTISASI</t>
  </si>
  <si>
    <t>BEBAN PAJAK PENGHASILAN</t>
  </si>
  <si>
    <t>BEBAN BIAYA PINJAMAN</t>
  </si>
  <si>
    <t>EBITDA</t>
  </si>
  <si>
    <t>EBITDA (25%)</t>
  </si>
  <si>
    <t>PERBANDINGAN ANTARA UTANG DAN MODAL (DEBT TO EQUITY RATIO)</t>
  </si>
  <si>
    <t>PENGHITUNGAN SALDO RATA-RATA UTANG</t>
  </si>
  <si>
    <t>PEMBERI PINJAMAN</t>
  </si>
  <si>
    <t>SALDO UTANG TIAP AKHIR BULAN (Rp)</t>
  </si>
  <si>
    <t>RATA-RATA</t>
  </si>
  <si>
    <t>KE-1</t>
  </si>
  <si>
    <t>KE-2</t>
  </si>
  <si>
    <t>KE-3</t>
  </si>
  <si>
    <t>KE-4</t>
  </si>
  <si>
    <t>KE-5</t>
  </si>
  <si>
    <t>KE-6</t>
  </si>
  <si>
    <t>KE-7</t>
  </si>
  <si>
    <t>KE-8</t>
  </si>
  <si>
    <t>KE-9</t>
  </si>
  <si>
    <t>KE-10</t>
  </si>
  <si>
    <t>KE-11</t>
  </si>
  <si>
    <t>KE-12</t>
  </si>
  <si>
    <t>(15)</t>
  </si>
  <si>
    <t>(16)</t>
  </si>
  <si>
    <t>PENGHITUNGAN SALDO RATA-RATA MODAL</t>
  </si>
  <si>
    <t>RINCIAN MODAL</t>
  </si>
  <si>
    <t>SALDO MODAL TIAP AKHIR BULAN (Rp)</t>
  </si>
  <si>
    <t xml:space="preserve"> ..................</t>
  </si>
  <si>
    <t>Pinjaman Tanpa Bunga dari ................</t>
  </si>
  <si>
    <t>PENGHITUNGAN BESARNYA PERBANDINGAN ANTARA UTANG DANMODAL (DEBT TO EQUITY RATIO)</t>
  </si>
  <si>
    <t>DEBT TO EQUITY RATIO (DER)</t>
  </si>
  <si>
    <t>=</t>
  </si>
  <si>
    <t>Jumlah saldo Rata-rata Utang</t>
  </si>
  <si>
    <t>Jumlah saldo Rata-rata Modal</t>
  </si>
  <si>
    <t>PENGHITUNGAN BIAYA PINJAMAN</t>
  </si>
  <si>
    <t>SALDO RATA-RATA UTANG</t>
  </si>
  <si>
    <t>BIAYA PINJAMAN BUNGA</t>
  </si>
  <si>
    <t>BIAYA PINJAMAN YANG DAPAT DIPERHITUNGKAN</t>
  </si>
  <si>
    <t>BIAYA PINJAMAN YANG TIDAK DAPAT DIPERHITUNGKAN</t>
  </si>
  <si>
    <t>Apakah Anda mempunyai utang swasta luar negeri ? Jika "Ya", isilan Lampiran 11C</t>
  </si>
  <si>
    <t>Ya</t>
  </si>
  <si>
    <t>Tidak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</si>
</sst>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_);_(@_)"/>
  </numFmts>
  <fonts count="36">
    <font>
      <sz val="11"/>
      <color theme="1"/>
      <name val="Calibri"/>
      <charset val="134"/>
      <scheme val="minor"/>
    </font>
    <font>
      <sz val="9"/>
      <color theme="1"/>
      <name val="Arial"/>
      <charset val="134"/>
    </font>
    <font>
      <sz val="9"/>
      <name val="Arial"/>
      <charset val="134"/>
    </font>
    <font>
      <b/>
      <sz val="12"/>
      <color theme="1"/>
      <name val="Arial"/>
      <charset val="134"/>
    </font>
    <font>
      <b/>
      <sz val="9"/>
      <color theme="1"/>
      <name val="Arial"/>
      <charset val="134"/>
    </font>
    <font>
      <b/>
      <sz val="9"/>
      <color theme="0"/>
      <name val="Arial"/>
      <charset val="134"/>
    </font>
    <font>
      <b/>
      <sz val="9"/>
      <name val="Arial"/>
      <charset val="134"/>
    </font>
    <font>
      <b/>
      <sz val="14"/>
      <color theme="0"/>
      <name val="Arial"/>
      <charset val="134"/>
    </font>
    <font>
      <b/>
      <sz val="11"/>
      <color theme="0"/>
      <name val="Arial"/>
      <charset val="134"/>
    </font>
    <font>
      <sz val="9"/>
      <color theme="0"/>
      <name val="Arial"/>
      <charset val="134"/>
    </font>
    <font>
      <sz val="8"/>
      <color theme="1"/>
      <name val="Arial"/>
      <charset val="134"/>
    </font>
    <font>
      <b/>
      <sz val="8"/>
      <name val="Arial"/>
      <charset val="134"/>
    </font>
    <font>
      <b/>
      <sz val="9"/>
      <name val="Arial"/>
    </font>
    <font>
      <b/>
      <sz val="12"/>
      <name val="Arial"/>
    </font>
    <font>
      <b/>
      <sz val="11"/>
      <name val="Arial"/>
    </font>
    <font>
      <b/>
      <sz val="9"/>
      <color theme="0"/>
      <name val="Arial"/>
    </font>
    <font>
      <b/>
      <sz val="11"/>
      <color theme="1"/>
      <name val="Arial"/>
      <charset val="134"/>
    </font>
    <font>
      <sz val="11"/>
      <color theme="1"/>
      <name val="Arial"/>
      <charset val="134"/>
    </font>
    <font>
      <b/>
      <sz val="8"/>
      <color theme="0"/>
      <name val="Arial"/>
      <charset val="134"/>
    </font>
    <font>
      <b/>
      <sz val="10"/>
      <color theme="0"/>
      <name val="Arial"/>
      <charset val="134"/>
    </font>
    <font>
      <b/>
      <u/>
      <sz val="16"/>
      <color rgb="FFFF0000"/>
      <name val="Calibri"/>
      <scheme val="minor"/>
    </font>
    <font>
      <b/>
      <sz val="8"/>
      <color theme="1"/>
      <name val="Arial"/>
      <charset val="134"/>
    </font>
    <font>
      <b/>
      <sz val="9"/>
      <color rgb="FFFF0000"/>
      <name val="Arial"/>
      <charset val="134"/>
    </font>
    <font>
      <b/>
      <sz val="7"/>
      <color theme="1"/>
      <name val="Arial"/>
      <charset val="134"/>
    </font>
    <font>
      <b/>
      <sz val="7"/>
      <name val="Arial"/>
      <charset val="134"/>
    </font>
    <font>
      <b/>
      <sz val="9"/>
      <color rgb="FF7030A0"/>
      <name val="Arial"/>
      <charset val="134"/>
    </font>
    <font>
      <b/>
      <sz val="16"/>
      <color theme="1"/>
      <name val="Arial"/>
      <charset val="134"/>
    </font>
    <font>
      <sz val="8"/>
      <color theme="0"/>
      <name val="Arial"/>
      <charset val="134"/>
    </font>
    <font>
      <u/>
      <sz val="9"/>
      <color rgb="FF800080"/>
      <name val="Arial"/>
    </font>
    <font>
      <u/>
      <sz val="9"/>
      <color rgb="FF0000FF"/>
      <name val="Arial"/>
    </font>
    <font>
      <sz val="10"/>
      <name val="Arial"/>
    </font>
    <font>
      <b/>
      <sz val="10"/>
      <name val="Arial"/>
    </font>
    <font>
      <b/>
      <sz val="8"/>
      <name val="Arial"/>
    </font>
    <font>
      <u/>
      <sz val="11"/>
      <color rgb="FF0000FF"/>
      <name val="Calibri"/>
      <scheme val="minor"/>
    </font>
    <font>
      <b/>
      <sz val="8"/>
      <color rgb="FFFF0000"/>
      <name val="Arial"/>
      <charset val="134"/>
    </font>
    <font>
      <sz val="11"/>
      <color theme="1"/>
      <name val="Calibri"/>
      <charset val="134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-0.249977111117893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 diagonalUp="1"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/>
      <top/>
      <bottom style="thin">
        <color theme="0"/>
      </bottom>
      <diagonal/>
    </border>
  </borders>
  <cellStyleXfs count="3">
    <xf numFmtId="0" fontId="0" fillId="0" borderId="0"/>
    <xf numFmtId="164" fontId="35" fillId="0" borderId="0" applyFon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</cellStyleXfs>
  <cellXfs count="332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1" xfId="0" applyFont="1" applyFill="1" applyBorder="1"/>
    <xf numFmtId="0" fontId="3" fillId="2" borderId="2" xfId="0" applyFont="1" applyFill="1" applyBorder="1" applyAlignment="1">
      <alignment vertical="center"/>
    </xf>
    <xf numFmtId="0" fontId="4" fillId="2" borderId="3" xfId="0" applyFont="1" applyFill="1" applyBorder="1"/>
    <xf numFmtId="0" fontId="3" fillId="2" borderId="0" xfId="0" applyFont="1" applyFill="1" applyAlignment="1">
      <alignment vertical="center"/>
    </xf>
    <xf numFmtId="0" fontId="5" fillId="3" borderId="0" xfId="0" applyFont="1" applyFill="1" applyAlignment="1">
      <alignment horizontal="center"/>
    </xf>
    <xf numFmtId="0" fontId="5" fillId="3" borderId="0" xfId="0" applyFont="1" applyFill="1"/>
    <xf numFmtId="0" fontId="2" fillId="3" borderId="0" xfId="0" applyFont="1" applyFill="1"/>
    <xf numFmtId="0" fontId="1" fillId="4" borderId="0" xfId="0" applyFont="1" applyFill="1"/>
    <xf numFmtId="0" fontId="4" fillId="5" borderId="6" xfId="0" applyFont="1" applyFill="1" applyBorder="1" applyAlignment="1">
      <alignment horizontal="center"/>
    </xf>
    <xf numFmtId="0" fontId="4" fillId="4" borderId="0" xfId="0" applyFont="1" applyFill="1"/>
    <xf numFmtId="0" fontId="1" fillId="3" borderId="0" xfId="0" applyFont="1" applyFill="1"/>
    <xf numFmtId="0" fontId="4" fillId="4" borderId="0" xfId="0" applyFont="1" applyFill="1" applyAlignment="1">
      <alignment horizontal="center" vertical="center"/>
    </xf>
    <xf numFmtId="0" fontId="4" fillId="4" borderId="4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4" fillId="2" borderId="2" xfId="0" applyFont="1" applyFill="1" applyBorder="1"/>
    <xf numFmtId="0" fontId="1" fillId="6" borderId="2" xfId="0" applyFont="1" applyFill="1" applyBorder="1"/>
    <xf numFmtId="0" fontId="1" fillId="2" borderId="0" xfId="0" applyFont="1" applyFill="1"/>
    <xf numFmtId="0" fontId="1" fillId="6" borderId="0" xfId="0" applyFont="1" applyFill="1"/>
    <xf numFmtId="0" fontId="7" fillId="6" borderId="0" xfId="0" applyFont="1" applyFill="1"/>
    <xf numFmtId="0" fontId="8" fillId="6" borderId="0" xfId="0" applyFont="1" applyFill="1"/>
    <xf numFmtId="0" fontId="9" fillId="6" borderId="0" xfId="0" applyFont="1" applyFill="1"/>
    <xf numFmtId="0" fontId="10" fillId="0" borderId="6" xfId="0" applyFont="1" applyBorder="1"/>
    <xf numFmtId="0" fontId="5" fillId="6" borderId="0" xfId="0" applyFont="1" applyFill="1"/>
    <xf numFmtId="0" fontId="1" fillId="6" borderId="5" xfId="0" applyFont="1" applyFill="1" applyBorder="1"/>
    <xf numFmtId="0" fontId="5" fillId="6" borderId="0" xfId="0" applyFont="1" applyFill="1" applyAlignment="1">
      <alignment vertical="center"/>
    </xf>
    <xf numFmtId="0" fontId="11" fillId="0" borderId="6" xfId="0" applyFont="1" applyBorder="1" applyAlignment="1">
      <alignment horizontal="center" vertical="center"/>
    </xf>
    <xf numFmtId="0" fontId="12" fillId="6" borderId="0" xfId="0" applyFont="1" applyFill="1" applyAlignment="1">
      <alignment vertical="center"/>
    </xf>
    <xf numFmtId="0" fontId="14" fillId="6" borderId="0" xfId="0" applyFont="1" applyFill="1" applyAlignment="1">
      <alignment horizontal="center" vertical="center"/>
    </xf>
    <xf numFmtId="0" fontId="1" fillId="6" borderId="9" xfId="0" applyFont="1" applyFill="1" applyBorder="1"/>
    <xf numFmtId="0" fontId="1" fillId="6" borderId="11" xfId="0" applyFont="1" applyFill="1" applyBorder="1"/>
    <xf numFmtId="0" fontId="4" fillId="0" borderId="6" xfId="0" applyFont="1" applyBorder="1" applyAlignment="1">
      <alignment horizontal="center"/>
    </xf>
    <xf numFmtId="0" fontId="18" fillId="3" borderId="0" xfId="0" applyFont="1" applyFill="1"/>
    <xf numFmtId="0" fontId="4" fillId="0" borderId="12" xfId="0" applyFont="1" applyBorder="1" applyAlignment="1">
      <alignment horizontal="center"/>
    </xf>
    <xf numFmtId="0" fontId="4" fillId="0" borderId="0" xfId="0" applyFont="1"/>
    <xf numFmtId="0" fontId="1" fillId="0" borderId="6" xfId="0" applyFont="1" applyBorder="1"/>
    <xf numFmtId="0" fontId="1" fillId="0" borderId="6" xfId="0" applyFont="1" applyBorder="1" applyAlignment="1">
      <alignment horizontal="center"/>
    </xf>
    <xf numFmtId="0" fontId="19" fillId="6" borderId="0" xfId="0" applyFont="1" applyFill="1" applyAlignment="1">
      <alignment vertical="center"/>
    </xf>
    <xf numFmtId="0" fontId="5" fillId="6" borderId="0" xfId="0" applyFont="1" applyFill="1" applyAlignment="1">
      <alignment vertical="top"/>
    </xf>
    <xf numFmtId="0" fontId="6" fillId="0" borderId="12" xfId="0" applyFont="1" applyBorder="1" applyAlignment="1">
      <alignment horizontal="center"/>
    </xf>
    <xf numFmtId="0" fontId="4" fillId="0" borderId="0" xfId="0" applyFont="1" applyAlignment="1">
      <alignment horizontal="center"/>
    </xf>
    <xf numFmtId="164" fontId="2" fillId="0" borderId="0" xfId="1" applyFont="1" applyAlignment="1"/>
    <xf numFmtId="0" fontId="1" fillId="0" borderId="0" xfId="0" applyFont="1" applyAlignment="1">
      <alignment horizontal="center"/>
    </xf>
    <xf numFmtId="0" fontId="1" fillId="0" borderId="5" xfId="0" applyFont="1" applyBorder="1"/>
    <xf numFmtId="0" fontId="4" fillId="4" borderId="8" xfId="0" applyFont="1" applyFill="1" applyBorder="1" applyAlignment="1">
      <alignment horizontal="center"/>
    </xf>
    <xf numFmtId="0" fontId="19" fillId="6" borderId="0" xfId="0" applyFont="1" applyFill="1"/>
    <xf numFmtId="0" fontId="11" fillId="5" borderId="6" xfId="0" applyFont="1" applyFill="1" applyBorder="1" applyAlignment="1">
      <alignment horizontal="center" vertical="center"/>
    </xf>
    <xf numFmtId="0" fontId="11" fillId="5" borderId="12" xfId="0" applyFont="1" applyFill="1" applyBorder="1" applyAlignment="1">
      <alignment horizontal="center" vertical="center"/>
    </xf>
    <xf numFmtId="0" fontId="22" fillId="0" borderId="0" xfId="0" applyFont="1"/>
    <xf numFmtId="0" fontId="4" fillId="4" borderId="0" xfId="0" applyFont="1" applyFill="1" applyAlignment="1">
      <alignment horizontal="center"/>
    </xf>
    <xf numFmtId="0" fontId="4" fillId="4" borderId="15" xfId="0" applyFont="1" applyFill="1" applyBorder="1" applyAlignment="1">
      <alignment horizontal="center"/>
    </xf>
    <xf numFmtId="0" fontId="4" fillId="4" borderId="5" xfId="0" applyFont="1" applyFill="1" applyBorder="1"/>
    <xf numFmtId="0" fontId="4" fillId="4" borderId="9" xfId="0" applyFont="1" applyFill="1" applyBorder="1"/>
    <xf numFmtId="0" fontId="4" fillId="4" borderId="11" xfId="0" applyFont="1" applyFill="1" applyBorder="1"/>
    <xf numFmtId="0" fontId="4" fillId="4" borderId="3" xfId="0" applyFont="1" applyFill="1" applyBorder="1"/>
    <xf numFmtId="0" fontId="4" fillId="4" borderId="4" xfId="0" applyFont="1" applyFill="1" applyBorder="1"/>
    <xf numFmtId="0" fontId="11" fillId="4" borderId="9" xfId="0" applyFont="1" applyFill="1" applyBorder="1" applyAlignment="1">
      <alignment horizontal="center" vertical="center"/>
    </xf>
    <xf numFmtId="0" fontId="4" fillId="4" borderId="0" xfId="0" applyFont="1" applyFill="1" applyAlignment="1">
      <alignment vertical="center"/>
    </xf>
    <xf numFmtId="0" fontId="4" fillId="4" borderId="0" xfId="0" applyFont="1" applyFill="1" applyAlignment="1">
      <alignment vertical="center" wrapText="1"/>
    </xf>
    <xf numFmtId="0" fontId="22" fillId="4" borderId="0" xfId="0" applyFont="1" applyFill="1" applyAlignment="1">
      <alignment vertical="center" wrapText="1"/>
    </xf>
    <xf numFmtId="164" fontId="1" fillId="4" borderId="0" xfId="1" applyFont="1" applyFill="1" applyAlignment="1"/>
    <xf numFmtId="0" fontId="1" fillId="0" borderId="0" xfId="0" applyFont="1" applyAlignment="1">
      <alignment horizontal="left"/>
    </xf>
    <xf numFmtId="0" fontId="24" fillId="5" borderId="6" xfId="0" applyFont="1" applyFill="1" applyBorder="1" applyAlignment="1">
      <alignment horizontal="center" vertical="center"/>
    </xf>
    <xf numFmtId="0" fontId="1" fillId="4" borderId="15" xfId="0" applyFont="1" applyFill="1" applyBorder="1"/>
    <xf numFmtId="0" fontId="1" fillId="4" borderId="5" xfId="0" applyFont="1" applyFill="1" applyBorder="1"/>
    <xf numFmtId="0" fontId="4" fillId="4" borderId="8" xfId="0" applyFont="1" applyFill="1" applyBorder="1"/>
    <xf numFmtId="0" fontId="1" fillId="10" borderId="5" xfId="0" applyFont="1" applyFill="1" applyBorder="1"/>
    <xf numFmtId="0" fontId="1" fillId="2" borderId="3" xfId="0" applyFont="1" applyFill="1" applyBorder="1"/>
    <xf numFmtId="0" fontId="4" fillId="2" borderId="0" xfId="0" applyFont="1" applyFill="1"/>
    <xf numFmtId="0" fontId="1" fillId="2" borderId="0" xfId="0" applyFont="1" applyFill="1" applyAlignment="1">
      <alignment vertical="top"/>
    </xf>
    <xf numFmtId="0" fontId="4" fillId="0" borderId="6" xfId="0" applyFont="1" applyBorder="1"/>
    <xf numFmtId="0" fontId="11" fillId="0" borderId="0" xfId="0" applyFont="1" applyAlignment="1">
      <alignment horizontal="center" vertical="center"/>
    </xf>
    <xf numFmtId="0" fontId="1" fillId="0" borderId="8" xfId="0" applyFont="1" applyBorder="1"/>
    <xf numFmtId="0" fontId="1" fillId="0" borderId="15" xfId="0" applyFont="1" applyBorder="1"/>
    <xf numFmtId="0" fontId="22" fillId="0" borderId="8" xfId="0" applyFont="1" applyBorder="1"/>
    <xf numFmtId="0" fontId="22" fillId="0" borderId="15" xfId="0" applyFont="1" applyBorder="1"/>
    <xf numFmtId="0" fontId="4" fillId="0" borderId="15" xfId="0" applyFont="1" applyBorder="1"/>
    <xf numFmtId="0" fontId="1" fillId="0" borderId="14" xfId="0" applyFont="1" applyBorder="1"/>
    <xf numFmtId="0" fontId="4" fillId="0" borderId="14" xfId="0" applyFont="1" applyBorder="1"/>
    <xf numFmtId="164" fontId="1" fillId="11" borderId="8" xfId="1" applyFont="1" applyFill="1" applyBorder="1" applyAlignment="1"/>
    <xf numFmtId="164" fontId="1" fillId="11" borderId="15" xfId="1" applyFont="1" applyFill="1" applyBorder="1" applyAlignment="1"/>
    <xf numFmtId="164" fontId="1" fillId="11" borderId="14" xfId="1" applyFont="1" applyFill="1" applyBorder="1" applyAlignment="1"/>
    <xf numFmtId="0" fontId="25" fillId="0" borderId="15" xfId="0" applyFont="1" applyBorder="1"/>
    <xf numFmtId="0" fontId="10" fillId="0" borderId="0" xfId="0" applyFont="1"/>
    <xf numFmtId="0" fontId="10" fillId="0" borderId="1" xfId="0" applyFont="1" applyBorder="1"/>
    <xf numFmtId="0" fontId="10" fillId="0" borderId="2" xfId="0" applyFont="1" applyBorder="1"/>
    <xf numFmtId="0" fontId="10" fillId="0" borderId="3" xfId="0" applyFont="1" applyBorder="1"/>
    <xf numFmtId="0" fontId="10" fillId="0" borderId="4" xfId="0" applyFont="1" applyBorder="1"/>
    <xf numFmtId="0" fontId="10" fillId="0" borderId="5" xfId="0" applyFont="1" applyBorder="1"/>
    <xf numFmtId="0" fontId="10" fillId="4" borderId="3" xfId="0" applyFont="1" applyFill="1" applyBorder="1"/>
    <xf numFmtId="0" fontId="10" fillId="4" borderId="0" xfId="0" applyFont="1" applyFill="1"/>
    <xf numFmtId="0" fontId="21" fillId="4" borderId="0" xfId="0" applyFont="1" applyFill="1"/>
    <xf numFmtId="0" fontId="10" fillId="0" borderId="16" xfId="0" applyFont="1" applyBorder="1"/>
    <xf numFmtId="0" fontId="10" fillId="4" borderId="4" xfId="0" applyFont="1" applyFill="1" applyBorder="1"/>
    <xf numFmtId="0" fontId="10" fillId="4" borderId="5" xfId="0" applyFont="1" applyFill="1" applyBorder="1"/>
    <xf numFmtId="0" fontId="27" fillId="0" borderId="3" xfId="0" applyFont="1" applyBorder="1"/>
    <xf numFmtId="0" fontId="27" fillId="0" borderId="0" xfId="0" applyFont="1"/>
    <xf numFmtId="0" fontId="10" fillId="5" borderId="6" xfId="0" applyFont="1" applyFill="1" applyBorder="1" applyAlignment="1">
      <alignment horizontal="center"/>
    </xf>
    <xf numFmtId="0" fontId="1" fillId="4" borderId="0" xfId="0" applyFont="1" applyFill="1" applyAlignment="1">
      <alignment vertical="top"/>
    </xf>
    <xf numFmtId="0" fontId="28" fillId="4" borderId="0" xfId="2" applyFont="1" applyFill="1" applyAlignment="1"/>
    <xf numFmtId="0" fontId="29" fillId="4" borderId="0" xfId="2" applyFont="1" applyFill="1" applyAlignment="1"/>
    <xf numFmtId="0" fontId="30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31" fillId="0" borderId="0" xfId="0" applyFont="1" applyAlignment="1">
      <alignment vertical="center"/>
    </xf>
    <xf numFmtId="0" fontId="21" fillId="0" borderId="5" xfId="0" applyFont="1" applyBorder="1"/>
    <xf numFmtId="0" fontId="10" fillId="0" borderId="7" xfId="0" applyFont="1" applyBorder="1"/>
    <xf numFmtId="0" fontId="10" fillId="0" borderId="9" xfId="0" applyFont="1" applyBorder="1"/>
    <xf numFmtId="0" fontId="10" fillId="0" borderId="11" xfId="0" applyFont="1" applyBorder="1"/>
    <xf numFmtId="0" fontId="10" fillId="4" borderId="9" xfId="0" applyFont="1" applyFill="1" applyBorder="1"/>
    <xf numFmtId="0" fontId="10" fillId="4" borderId="11" xfId="0" applyFont="1" applyFill="1" applyBorder="1"/>
    <xf numFmtId="0" fontId="27" fillId="0" borderId="9" xfId="0" applyFont="1" applyBorder="1"/>
    <xf numFmtId="0" fontId="1" fillId="5" borderId="0" xfId="0" applyFont="1" applyFill="1"/>
    <xf numFmtId="0" fontId="5" fillId="3" borderId="1" xfId="0" applyFont="1" applyFill="1" applyBorder="1" applyAlignment="1">
      <alignment horizontal="center"/>
    </xf>
    <xf numFmtId="0" fontId="5" fillId="3" borderId="2" xfId="0" applyFont="1" applyFill="1" applyBorder="1"/>
    <xf numFmtId="0" fontId="18" fillId="3" borderId="2" xfId="0" applyFont="1" applyFill="1" applyBorder="1"/>
    <xf numFmtId="0" fontId="18" fillId="3" borderId="3" xfId="0" applyFont="1" applyFill="1" applyBorder="1"/>
    <xf numFmtId="0" fontId="5" fillId="3" borderId="3" xfId="0" applyFont="1" applyFill="1" applyBorder="1"/>
    <xf numFmtId="0" fontId="5" fillId="3" borderId="17" xfId="0" applyFont="1" applyFill="1" applyBorder="1"/>
    <xf numFmtId="0" fontId="5" fillId="3" borderId="4" xfId="0" applyFont="1" applyFill="1" applyBorder="1"/>
    <xf numFmtId="0" fontId="5" fillId="3" borderId="5" xfId="0" applyFont="1" applyFill="1" applyBorder="1"/>
    <xf numFmtId="0" fontId="11" fillId="0" borderId="6" xfId="0" applyFont="1" applyBorder="1" applyAlignment="1">
      <alignment horizontal="center"/>
    </xf>
    <xf numFmtId="0" fontId="18" fillId="3" borderId="7" xfId="0" applyFont="1" applyFill="1" applyBorder="1"/>
    <xf numFmtId="0" fontId="18" fillId="3" borderId="9" xfId="0" applyFont="1" applyFill="1" applyBorder="1"/>
    <xf numFmtId="0" fontId="5" fillId="3" borderId="9" xfId="0" applyFont="1" applyFill="1" applyBorder="1"/>
    <xf numFmtId="0" fontId="5" fillId="3" borderId="11" xfId="0" applyFont="1" applyFill="1" applyBorder="1"/>
    <xf numFmtId="0" fontId="21" fillId="5" borderId="6" xfId="0" applyFont="1" applyFill="1" applyBorder="1" applyAlignment="1">
      <alignment horizontal="center"/>
    </xf>
    <xf numFmtId="0" fontId="4" fillId="4" borderId="6" xfId="0" quotePrefix="1" applyFont="1" applyFill="1" applyBorder="1" applyAlignment="1">
      <alignment horizontal="center"/>
    </xf>
    <xf numFmtId="0" fontId="4" fillId="4" borderId="12" xfId="0" quotePrefix="1" applyFont="1" applyFill="1" applyBorder="1" applyAlignment="1">
      <alignment horizontal="center"/>
    </xf>
    <xf numFmtId="0" fontId="4" fillId="4" borderId="6" xfId="0" quotePrefix="1" applyFont="1" applyFill="1" applyBorder="1"/>
    <xf numFmtId="0" fontId="20" fillId="8" borderId="0" xfId="2" applyFont="1" applyFill="1" applyAlignment="1">
      <alignment horizontal="center" vertical="center"/>
    </xf>
    <xf numFmtId="0" fontId="4" fillId="4" borderId="6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 wrapText="1"/>
    </xf>
    <xf numFmtId="0" fontId="4" fillId="4" borderId="15" xfId="0" applyFont="1" applyFill="1" applyBorder="1" applyAlignment="1">
      <alignment horizontal="center" vertical="center" wrapText="1"/>
    </xf>
    <xf numFmtId="0" fontId="4" fillId="4" borderId="14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/>
    </xf>
    <xf numFmtId="0" fontId="6" fillId="0" borderId="12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164" fontId="6" fillId="0" borderId="6" xfId="1" applyFont="1" applyFill="1" applyBorder="1" applyAlignment="1">
      <alignment horizontal="center"/>
    </xf>
    <xf numFmtId="0" fontId="4" fillId="4" borderId="12" xfId="0" applyFont="1" applyFill="1" applyBorder="1" applyAlignment="1">
      <alignment horizontal="center" vertical="center"/>
    </xf>
    <xf numFmtId="164" fontId="6" fillId="0" borderId="0" xfId="1" applyFont="1" applyFill="1" applyAlignment="1">
      <alignment horizontal="center"/>
    </xf>
    <xf numFmtId="0" fontId="4" fillId="4" borderId="12" xfId="0" quotePrefix="1" applyFont="1" applyFill="1" applyBorder="1" applyAlignment="1">
      <alignment horizontal="center"/>
    </xf>
    <xf numFmtId="0" fontId="4" fillId="4" borderId="12" xfId="0" applyFont="1" applyFill="1" applyBorder="1" applyAlignment="1">
      <alignment horizontal="center"/>
    </xf>
    <xf numFmtId="0" fontId="4" fillId="4" borderId="14" xfId="0" quotePrefix="1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0" fontId="4" fillId="4" borderId="6" xfId="0" quotePrefix="1" applyFont="1" applyFill="1" applyBorder="1" applyAlignment="1">
      <alignment horizontal="center"/>
    </xf>
    <xf numFmtId="0" fontId="4" fillId="4" borderId="14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left"/>
    </xf>
    <xf numFmtId="0" fontId="1" fillId="0" borderId="15" xfId="0" applyFont="1" applyBorder="1" applyAlignment="1">
      <alignment horizontal="left"/>
    </xf>
    <xf numFmtId="0" fontId="1" fillId="0" borderId="14" xfId="0" applyFont="1" applyBorder="1" applyAlignment="1">
      <alignment horizontal="left"/>
    </xf>
    <xf numFmtId="0" fontId="1" fillId="0" borderId="8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5" fillId="9" borderId="0" xfId="0" applyFont="1" applyFill="1" applyAlignment="1">
      <alignment horizontal="center"/>
    </xf>
    <xf numFmtId="0" fontId="1" fillId="0" borderId="6" xfId="0" applyFont="1" applyBorder="1" applyAlignment="1">
      <alignment horizontal="center"/>
    </xf>
    <xf numFmtId="0" fontId="5" fillId="7" borderId="0" xfId="0" applyFont="1" applyFill="1" applyAlignment="1">
      <alignment horizontal="center"/>
    </xf>
    <xf numFmtId="0" fontId="4" fillId="4" borderId="10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/>
    </xf>
    <xf numFmtId="164" fontId="4" fillId="0" borderId="6" xfId="1" applyFont="1" applyFill="1" applyBorder="1" applyAlignment="1">
      <alignment horizontal="center"/>
    </xf>
    <xf numFmtId="164" fontId="4" fillId="0" borderId="12" xfId="1" applyFont="1" applyBorder="1" applyAlignment="1">
      <alignment horizontal="center"/>
    </xf>
    <xf numFmtId="164" fontId="4" fillId="0" borderId="12" xfId="1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4" fillId="4" borderId="4" xfId="0" quotePrefix="1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4" fillId="4" borderId="11" xfId="0" applyFont="1" applyFill="1" applyBorder="1" applyAlignment="1">
      <alignment horizontal="center"/>
    </xf>
    <xf numFmtId="0" fontId="4" fillId="4" borderId="10" xfId="0" applyFont="1" applyFill="1" applyBorder="1" applyAlignment="1">
      <alignment horizontal="center"/>
    </xf>
    <xf numFmtId="0" fontId="15" fillId="6" borderId="0" xfId="0" applyFont="1" applyFill="1" applyAlignment="1">
      <alignment horizontal="center" vertical="center"/>
    </xf>
    <xf numFmtId="0" fontId="15" fillId="6" borderId="9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justify" vertical="top"/>
    </xf>
    <xf numFmtId="0" fontId="4" fillId="2" borderId="0" xfId="0" applyFont="1" applyFill="1" applyAlignment="1">
      <alignment horizontal="justify" vertical="top"/>
    </xf>
    <xf numFmtId="0" fontId="4" fillId="2" borderId="4" xfId="0" applyFont="1" applyFill="1" applyBorder="1" applyAlignment="1">
      <alignment horizontal="justify" vertical="top"/>
    </xf>
    <xf numFmtId="0" fontId="4" fillId="2" borderId="5" xfId="0" applyFont="1" applyFill="1" applyBorder="1" applyAlignment="1">
      <alignment horizontal="justify" vertical="top"/>
    </xf>
    <xf numFmtId="0" fontId="13" fillId="5" borderId="2" xfId="0" applyFont="1" applyFill="1" applyBorder="1" applyAlignment="1">
      <alignment horizontal="center" vertical="center"/>
    </xf>
    <xf numFmtId="0" fontId="13" fillId="5" borderId="7" xfId="0" applyFont="1" applyFill="1" applyBorder="1" applyAlignment="1">
      <alignment horizontal="center" vertical="center"/>
    </xf>
    <xf numFmtId="0" fontId="13" fillId="5" borderId="0" xfId="0" applyFont="1" applyFill="1" applyAlignment="1">
      <alignment horizontal="center" vertical="center"/>
    </xf>
    <xf numFmtId="0" fontId="13" fillId="5" borderId="9" xfId="0" applyFont="1" applyFill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6" fillId="0" borderId="7" xfId="0" applyFont="1" applyBorder="1" applyAlignment="1">
      <alignment horizontal="center" vertical="center"/>
    </xf>
    <xf numFmtId="0" fontId="26" fillId="0" borderId="4" xfId="0" applyFont="1" applyBorder="1" applyAlignment="1">
      <alignment horizontal="center" vertical="center"/>
    </xf>
    <xf numFmtId="0" fontId="26" fillId="0" borderId="11" xfId="0" applyFont="1" applyBorder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1" fillId="4" borderId="0" xfId="0" applyFont="1" applyFill="1" applyAlignment="1">
      <alignment horizontal="justify" vertical="top"/>
    </xf>
    <xf numFmtId="0" fontId="11" fillId="0" borderId="8" xfId="0" quotePrefix="1" applyFont="1" applyBorder="1" applyAlignment="1">
      <alignment horizontal="left"/>
    </xf>
    <xf numFmtId="0" fontId="11" fillId="0" borderId="15" xfId="0" applyFont="1" applyBorder="1" applyAlignment="1">
      <alignment horizontal="left"/>
    </xf>
    <xf numFmtId="0" fontId="11" fillId="0" borderId="14" xfId="0" applyFont="1" applyBorder="1" applyAlignment="1">
      <alignment horizontal="left"/>
    </xf>
    <xf numFmtId="0" fontId="11" fillId="0" borderId="8" xfId="0" applyFont="1" applyBorder="1" applyAlignment="1">
      <alignment horizontal="left"/>
    </xf>
    <xf numFmtId="0" fontId="4" fillId="4" borderId="0" xfId="0" applyFont="1" applyFill="1" applyAlignment="1">
      <alignment horizontal="center"/>
    </xf>
    <xf numFmtId="0" fontId="33" fillId="0" borderId="8" xfId="2" applyFill="1" applyBorder="1" applyAlignment="1">
      <alignment horizontal="left"/>
    </xf>
    <xf numFmtId="0" fontId="21" fillId="4" borderId="0" xfId="0" applyFont="1" applyFill="1" applyAlignment="1">
      <alignment horizontal="center" vertical="center"/>
    </xf>
    <xf numFmtId="0" fontId="32" fillId="5" borderId="0" xfId="0" applyFont="1" applyFill="1" applyAlignment="1">
      <alignment horizontal="center" vertical="center"/>
    </xf>
    <xf numFmtId="0" fontId="21" fillId="4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justify" vertical="top"/>
    </xf>
    <xf numFmtId="0" fontId="1" fillId="0" borderId="1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1" fillId="0" borderId="9" xfId="0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0" fontId="1" fillId="0" borderId="5" xfId="0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0" fontId="10" fillId="0" borderId="8" xfId="0" applyFont="1" applyBorder="1" applyAlignment="1">
      <alignment horizontal="left"/>
    </xf>
    <xf numFmtId="0" fontId="10" fillId="0" borderId="15" xfId="0" applyFont="1" applyBorder="1" applyAlignment="1">
      <alignment horizontal="left"/>
    </xf>
    <xf numFmtId="0" fontId="10" fillId="0" borderId="14" xfId="0" applyFont="1" applyBorder="1" applyAlignment="1">
      <alignment horizontal="left"/>
    </xf>
    <xf numFmtId="0" fontId="1" fillId="4" borderId="0" xfId="0" applyFont="1" applyFill="1" applyAlignment="1">
      <alignment horizontal="center"/>
    </xf>
    <xf numFmtId="0" fontId="21" fillId="2" borderId="3" xfId="0" applyFont="1" applyFill="1" applyBorder="1" applyAlignment="1">
      <alignment horizontal="justify" vertical="top"/>
    </xf>
    <xf numFmtId="0" fontId="21" fillId="2" borderId="0" xfId="0" applyFont="1" applyFill="1" applyAlignment="1">
      <alignment horizontal="justify" vertical="top"/>
    </xf>
    <xf numFmtId="0" fontId="21" fillId="2" borderId="4" xfId="0" applyFont="1" applyFill="1" applyBorder="1" applyAlignment="1">
      <alignment horizontal="justify" vertical="top"/>
    </xf>
    <xf numFmtId="0" fontId="21" fillId="2" borderId="5" xfId="0" applyFont="1" applyFill="1" applyBorder="1" applyAlignment="1">
      <alignment horizontal="justify" vertical="top"/>
    </xf>
    <xf numFmtId="0" fontId="4" fillId="0" borderId="6" xfId="0" applyFont="1" applyBorder="1" applyAlignment="1">
      <alignment horizontal="center"/>
    </xf>
    <xf numFmtId="164" fontId="4" fillId="0" borderId="6" xfId="1" applyFont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left"/>
    </xf>
    <xf numFmtId="0" fontId="22" fillId="0" borderId="6" xfId="0" applyFont="1" applyBorder="1" applyAlignment="1">
      <alignment horizontal="left"/>
    </xf>
    <xf numFmtId="0" fontId="1" fillId="11" borderId="6" xfId="0" applyFont="1" applyFill="1" applyBorder="1" applyAlignment="1">
      <alignment horizontal="center"/>
    </xf>
    <xf numFmtId="164" fontId="1" fillId="11" borderId="6" xfId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4" fillId="0" borderId="6" xfId="0" quotePrefix="1" applyFont="1" applyBorder="1" applyAlignment="1">
      <alignment horizontal="center"/>
    </xf>
    <xf numFmtId="0" fontId="4" fillId="0" borderId="14" xfId="0" quotePrefix="1" applyFont="1" applyBorder="1" applyAlignment="1">
      <alignment horizontal="center"/>
    </xf>
    <xf numFmtId="0" fontId="4" fillId="0" borderId="0" xfId="0" applyFont="1" applyAlignment="1">
      <alignment horizontal="center"/>
    </xf>
    <xf numFmtId="164" fontId="1" fillId="0" borderId="6" xfId="1" applyFont="1" applyBorder="1" applyAlignment="1">
      <alignment horizontal="center"/>
    </xf>
    <xf numFmtId="164" fontId="1" fillId="0" borderId="6" xfId="1" applyFont="1" applyFill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6" fillId="0" borderId="6" xfId="0" applyFont="1" applyBorder="1" applyAlignment="1">
      <alignment horizontal="left"/>
    </xf>
    <xf numFmtId="0" fontId="4" fillId="10" borderId="6" xfId="0" applyFont="1" applyFill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4" borderId="14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1" fillId="4" borderId="11" xfId="0" applyFont="1" applyFill="1" applyBorder="1" applyAlignment="1">
      <alignment horizontal="center"/>
    </xf>
    <xf numFmtId="0" fontId="4" fillId="0" borderId="14" xfId="0" applyFont="1" applyBorder="1" applyAlignment="1">
      <alignment horizontal="left"/>
    </xf>
    <xf numFmtId="0" fontId="4" fillId="4" borderId="3" xfId="0" applyFont="1" applyFill="1" applyBorder="1" applyAlignment="1">
      <alignment horizontal="left"/>
    </xf>
    <xf numFmtId="0" fontId="4" fillId="4" borderId="0" xfId="0" applyFont="1" applyFill="1" applyAlignment="1">
      <alignment horizontal="left"/>
    </xf>
    <xf numFmtId="164" fontId="4" fillId="0" borderId="10" xfId="1" applyFont="1" applyBorder="1" applyAlignment="1">
      <alignment horizontal="center"/>
    </xf>
    <xf numFmtId="0" fontId="4" fillId="9" borderId="0" xfId="0" applyFont="1" applyFill="1" applyAlignment="1">
      <alignment horizontal="center"/>
    </xf>
    <xf numFmtId="0" fontId="4" fillId="4" borderId="8" xfId="0" applyFont="1" applyFill="1" applyBorder="1" applyAlignment="1">
      <alignment horizontal="left"/>
    </xf>
    <xf numFmtId="0" fontId="4" fillId="4" borderId="15" xfId="0" applyFont="1" applyFill="1" applyBorder="1" applyAlignment="1">
      <alignment horizontal="left"/>
    </xf>
    <xf numFmtId="164" fontId="4" fillId="4" borderId="6" xfId="1" quotePrefix="1" applyFont="1" applyFill="1" applyBorder="1" applyAlignment="1">
      <alignment horizontal="center"/>
    </xf>
    <xf numFmtId="164" fontId="4" fillId="4" borderId="6" xfId="1" applyFont="1" applyFill="1" applyBorder="1" applyAlignment="1">
      <alignment horizontal="center"/>
    </xf>
    <xf numFmtId="0" fontId="5" fillId="6" borderId="0" xfId="0" applyFont="1" applyFill="1" applyAlignment="1">
      <alignment horizontal="justify" vertical="top"/>
    </xf>
    <xf numFmtId="164" fontId="4" fillId="9" borderId="6" xfId="1" applyFont="1" applyFill="1" applyBorder="1" applyAlignment="1">
      <alignment horizontal="center"/>
    </xf>
    <xf numFmtId="164" fontId="1" fillId="0" borderId="6" xfId="1" applyFont="1" applyBorder="1" applyAlignment="1">
      <alignment horizontal="center" vertical="center"/>
    </xf>
    <xf numFmtId="164" fontId="1" fillId="0" borderId="12" xfId="1" applyFont="1" applyBorder="1" applyAlignment="1">
      <alignment horizontal="center" vertical="center"/>
    </xf>
    <xf numFmtId="0" fontId="4" fillId="0" borderId="6" xfId="0" applyFont="1" applyBorder="1" applyAlignment="1">
      <alignment horizontal="left" wrapText="1"/>
    </xf>
    <xf numFmtId="0" fontId="4" fillId="0" borderId="6" xfId="0" applyFont="1" applyBorder="1" applyAlignment="1">
      <alignment vertical="center" wrapText="1"/>
    </xf>
    <xf numFmtId="164" fontId="23" fillId="5" borderId="12" xfId="1" applyFont="1" applyFill="1" applyBorder="1" applyAlignment="1">
      <alignment horizontal="center" vertical="center"/>
    </xf>
    <xf numFmtId="164" fontId="23" fillId="5" borderId="6" xfId="1" applyFont="1" applyFill="1" applyBorder="1" applyAlignment="1">
      <alignment horizontal="center" vertical="center"/>
    </xf>
    <xf numFmtId="0" fontId="4" fillId="0" borderId="12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164" fontId="4" fillId="0" borderId="6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4" fillId="4" borderId="7" xfId="0" applyFont="1" applyFill="1" applyBorder="1" applyAlignment="1">
      <alignment horizontal="left" vertical="center" wrapText="1"/>
    </xf>
    <xf numFmtId="0" fontId="4" fillId="4" borderId="8" xfId="0" applyFont="1" applyFill="1" applyBorder="1" applyAlignment="1">
      <alignment horizontal="left" wrapText="1"/>
    </xf>
    <xf numFmtId="0" fontId="4" fillId="4" borderId="15" xfId="0" applyFont="1" applyFill="1" applyBorder="1" applyAlignment="1">
      <alignment horizontal="left" wrapText="1"/>
    </xf>
    <xf numFmtId="0" fontId="4" fillId="4" borderId="14" xfId="0" applyFont="1" applyFill="1" applyBorder="1" applyAlignment="1">
      <alignment horizontal="left" wrapText="1"/>
    </xf>
    <xf numFmtId="164" fontId="4" fillId="0" borderId="14" xfId="1" applyFont="1" applyFill="1" applyBorder="1" applyAlignment="1">
      <alignment horizontal="center"/>
    </xf>
    <xf numFmtId="164" fontId="4" fillId="0" borderId="11" xfId="1" applyFont="1" applyFill="1" applyBorder="1" applyAlignment="1">
      <alignment horizontal="center"/>
    </xf>
    <xf numFmtId="0" fontId="4" fillId="5" borderId="0" xfId="0" applyFont="1" applyFill="1" applyAlignment="1">
      <alignment horizontal="center" vertical="center"/>
    </xf>
    <xf numFmtId="164" fontId="1" fillId="0" borderId="1" xfId="1" applyFont="1" applyFill="1" applyBorder="1" applyAlignment="1">
      <alignment horizontal="center" vertical="center"/>
    </xf>
    <xf numFmtId="164" fontId="1" fillId="0" borderId="2" xfId="1" applyFont="1" applyFill="1" applyBorder="1" applyAlignment="1">
      <alignment horizontal="center" vertical="center"/>
    </xf>
    <xf numFmtId="164" fontId="1" fillId="0" borderId="7" xfId="1" applyFont="1" applyFill="1" applyBorder="1" applyAlignment="1">
      <alignment horizontal="center" vertical="center"/>
    </xf>
    <xf numFmtId="164" fontId="1" fillId="0" borderId="4" xfId="1" applyFont="1" applyFill="1" applyBorder="1" applyAlignment="1">
      <alignment horizontal="center" vertical="center"/>
    </xf>
    <xf numFmtId="164" fontId="1" fillId="0" borderId="5" xfId="1" applyFont="1" applyFill="1" applyBorder="1" applyAlignment="1">
      <alignment horizontal="center" vertical="center"/>
    </xf>
    <xf numFmtId="164" fontId="1" fillId="0" borderId="11" xfId="1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 wrapText="1"/>
    </xf>
    <xf numFmtId="164" fontId="4" fillId="0" borderId="15" xfId="1" applyFont="1" applyFill="1" applyBorder="1" applyAlignment="1">
      <alignment horizontal="center"/>
    </xf>
    <xf numFmtId="164" fontId="4" fillId="0" borderId="8" xfId="1" applyFont="1" applyFill="1" applyBorder="1" applyAlignment="1">
      <alignment horizontal="center"/>
    </xf>
    <xf numFmtId="0" fontId="4" fillId="4" borderId="8" xfId="0" applyFont="1" applyFill="1" applyBorder="1" applyAlignment="1">
      <alignment horizontal="center"/>
    </xf>
    <xf numFmtId="0" fontId="4" fillId="4" borderId="15" xfId="0" applyFont="1" applyFill="1" applyBorder="1" applyAlignment="1">
      <alignment horizontal="center"/>
    </xf>
    <xf numFmtId="0" fontId="4" fillId="4" borderId="9" xfId="0" applyFont="1" applyFill="1" applyBorder="1" applyAlignment="1">
      <alignment horizontal="center"/>
    </xf>
    <xf numFmtId="0" fontId="4" fillId="4" borderId="15" xfId="0" quotePrefix="1" applyFont="1" applyFill="1" applyBorder="1" applyAlignment="1">
      <alignment horizontal="center"/>
    </xf>
    <xf numFmtId="0" fontId="4" fillId="4" borderId="8" xfId="0" quotePrefix="1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4" fillId="0" borderId="0" xfId="0" applyFont="1" applyAlignment="1">
      <alignment horizontal="justify" vertical="top"/>
    </xf>
    <xf numFmtId="0" fontId="11" fillId="5" borderId="10" xfId="0" applyFont="1" applyFill="1" applyBorder="1" applyAlignment="1">
      <alignment horizontal="center" vertical="center"/>
    </xf>
    <xf numFmtId="0" fontId="11" fillId="5" borderId="12" xfId="0" applyFont="1" applyFill="1" applyBorder="1" applyAlignment="1">
      <alignment horizontal="center" vertical="center"/>
    </xf>
    <xf numFmtId="164" fontId="1" fillId="0" borderId="1" xfId="1" applyFont="1" applyFill="1" applyBorder="1" applyAlignment="1">
      <alignment horizontal="center"/>
    </xf>
    <xf numFmtId="164" fontId="1" fillId="0" borderId="2" xfId="1" applyFont="1" applyFill="1" applyBorder="1" applyAlignment="1">
      <alignment horizontal="center"/>
    </xf>
    <xf numFmtId="164" fontId="1" fillId="0" borderId="7" xfId="1" applyFont="1" applyFill="1" applyBorder="1" applyAlignment="1">
      <alignment horizontal="center"/>
    </xf>
    <xf numFmtId="164" fontId="1" fillId="0" borderId="4" xfId="1" applyFont="1" applyFill="1" applyBorder="1" applyAlignment="1">
      <alignment horizontal="center"/>
    </xf>
    <xf numFmtId="164" fontId="1" fillId="0" borderId="5" xfId="1" applyFont="1" applyFill="1" applyBorder="1" applyAlignment="1">
      <alignment horizontal="center"/>
    </xf>
    <xf numFmtId="164" fontId="1" fillId="0" borderId="11" xfId="1" applyFont="1" applyFill="1" applyBorder="1" applyAlignment="1">
      <alignment horizontal="center"/>
    </xf>
    <xf numFmtId="0" fontId="4" fillId="4" borderId="14" xfId="0" applyFont="1" applyFill="1" applyBorder="1" applyAlignment="1">
      <alignment horizontal="left"/>
    </xf>
    <xf numFmtId="164" fontId="1" fillId="0" borderId="12" xfId="1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4" fillId="4" borderId="8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4" fillId="4" borderId="5" xfId="0" applyFont="1" applyFill="1" applyBorder="1" applyAlignment="1">
      <alignment horizontal="left"/>
    </xf>
    <xf numFmtId="0" fontId="4" fillId="4" borderId="11" xfId="0" applyFont="1" applyFill="1" applyBorder="1" applyAlignment="1">
      <alignment horizontal="left"/>
    </xf>
    <xf numFmtId="0" fontId="1" fillId="0" borderId="3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164" fontId="1" fillId="0" borderId="13" xfId="1" applyFont="1" applyBorder="1" applyAlignment="1">
      <alignment horizontal="center"/>
    </xf>
    <xf numFmtId="0" fontId="4" fillId="4" borderId="13" xfId="0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0" fontId="17" fillId="8" borderId="0" xfId="0" applyFont="1" applyFill="1" applyAlignment="1">
      <alignment horizontal="center" vertical="center"/>
    </xf>
    <xf numFmtId="0" fontId="6" fillId="4" borderId="6" xfId="0" applyFont="1" applyFill="1" applyBorder="1" applyAlignment="1">
      <alignment horizontal="center"/>
    </xf>
    <xf numFmtId="0" fontId="16" fillId="0" borderId="0" xfId="0" applyFont="1" applyAlignment="1">
      <alignment horizontal="center" vertical="center"/>
    </xf>
    <xf numFmtId="164" fontId="6" fillId="0" borderId="14" xfId="1" applyFont="1" applyFill="1" applyBorder="1" applyAlignment="1">
      <alignment horizontal="center"/>
    </xf>
    <xf numFmtId="0" fontId="16" fillId="0" borderId="5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4" fillId="4" borderId="13" xfId="0" applyFont="1" applyFill="1" applyBorder="1" applyAlignment="1">
      <alignment horizontal="center"/>
    </xf>
    <xf numFmtId="0" fontId="1" fillId="4" borderId="6" xfId="0" quotePrefix="1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</cellXfs>
  <cellStyles count="3">
    <cellStyle name="Comma [0]" xfId="1" builtinId="6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85090</xdr:colOff>
      <xdr:row>2</xdr:row>
      <xdr:rowOff>104775</xdr:rowOff>
    </xdr:from>
    <xdr:to>
      <xdr:col>7</xdr:col>
      <xdr:colOff>53975</xdr:colOff>
      <xdr:row>6</xdr:row>
      <xdr:rowOff>108585</xdr:rowOff>
    </xdr:to>
    <xdr:pic>
      <xdr:nvPicPr>
        <xdr:cNvPr id="2" name="Gambar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42440" y="409575"/>
          <a:ext cx="654685" cy="7086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85090</xdr:colOff>
      <xdr:row>2</xdr:row>
      <xdr:rowOff>104775</xdr:rowOff>
    </xdr:from>
    <xdr:to>
      <xdr:col>7</xdr:col>
      <xdr:colOff>53975</xdr:colOff>
      <xdr:row>6</xdr:row>
      <xdr:rowOff>108585</xdr:rowOff>
    </xdr:to>
    <xdr:pic>
      <xdr:nvPicPr>
        <xdr:cNvPr id="2" name="Gambar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42440" y="409575"/>
          <a:ext cx="654685" cy="7086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</sheetPr>
  <dimension ref="D3:BA119"/>
  <sheetViews>
    <sheetView tabSelected="1" zoomScale="60" zoomScaleNormal="60" workbookViewId="0">
      <selection activeCell="BL46" sqref="BL46"/>
    </sheetView>
  </sheetViews>
  <sheetFormatPr defaultColWidth="9" defaultRowHeight="11.5"/>
  <cols>
    <col min="1" max="2" width="9" style="1"/>
    <col min="3" max="66" width="3.453125" style="1" customWidth="1"/>
    <col min="67" max="16384" width="9" style="1"/>
  </cols>
  <sheetData>
    <row r="3" spans="4:53" s="85" customFormat="1" ht="10">
      <c r="D3" s="86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  <c r="S3" s="87"/>
      <c r="T3" s="87"/>
      <c r="U3" s="87"/>
      <c r="V3" s="87"/>
      <c r="W3" s="87"/>
      <c r="X3" s="87"/>
      <c r="Y3" s="87"/>
      <c r="Z3" s="87"/>
      <c r="AA3" s="87"/>
      <c r="AB3" s="87"/>
      <c r="AC3" s="87"/>
      <c r="AD3" s="87"/>
      <c r="AE3" s="87"/>
      <c r="AF3" s="87"/>
      <c r="AG3" s="87"/>
      <c r="AH3" s="87"/>
      <c r="AI3" s="87"/>
      <c r="AJ3" s="87"/>
      <c r="AK3" s="87"/>
      <c r="AL3" s="87"/>
      <c r="AM3" s="87"/>
      <c r="AN3" s="87"/>
      <c r="AO3" s="87"/>
      <c r="AP3" s="87"/>
      <c r="AQ3" s="87"/>
      <c r="AR3" s="87"/>
      <c r="AS3" s="87"/>
      <c r="AT3" s="87"/>
      <c r="AU3" s="87"/>
      <c r="AV3" s="107"/>
    </row>
    <row r="4" spans="4:53" s="85" customFormat="1" ht="15.5">
      <c r="D4" s="88"/>
      <c r="I4" s="103" t="s">
        <v>0</v>
      </c>
      <c r="Y4" s="104" t="s">
        <v>1</v>
      </c>
      <c r="AP4" s="194" t="s">
        <v>2</v>
      </c>
      <c r="AQ4" s="194"/>
      <c r="AR4" s="194"/>
      <c r="AS4" s="194"/>
      <c r="AT4" s="194"/>
      <c r="AU4" s="194"/>
      <c r="AV4" s="108"/>
    </row>
    <row r="5" spans="4:53" s="85" customFormat="1" ht="13">
      <c r="D5" s="88"/>
      <c r="I5" s="103" t="s">
        <v>3</v>
      </c>
      <c r="Y5" s="105" t="s">
        <v>4</v>
      </c>
      <c r="AP5" s="211" t="s">
        <v>5</v>
      </c>
      <c r="AQ5" s="211"/>
      <c r="AR5" s="211"/>
      <c r="AS5" s="211"/>
      <c r="AT5" s="211"/>
      <c r="AU5" s="211"/>
      <c r="AV5" s="108"/>
    </row>
    <row r="6" spans="4:53" s="85" customFormat="1" ht="15.5">
      <c r="D6" s="88"/>
      <c r="I6" s="104" t="s">
        <v>6</v>
      </c>
      <c r="Y6" s="105" t="s">
        <v>7</v>
      </c>
      <c r="AP6" s="211"/>
      <c r="AQ6" s="211"/>
      <c r="AR6" s="211"/>
      <c r="AS6" s="211"/>
      <c r="AT6" s="211"/>
      <c r="AU6" s="211"/>
      <c r="AV6" s="108"/>
    </row>
    <row r="7" spans="4:53" s="85" customFormat="1" ht="10.5">
      <c r="D7" s="89"/>
      <c r="E7" s="90"/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106" t="s">
        <v>8</v>
      </c>
      <c r="Z7" s="90"/>
      <c r="AA7" s="90"/>
      <c r="AB7" s="90"/>
      <c r="AC7" s="90"/>
      <c r="AD7" s="90"/>
      <c r="AE7" s="90"/>
      <c r="AF7" s="90"/>
      <c r="AG7" s="90"/>
      <c r="AH7" s="90"/>
      <c r="AI7" s="90"/>
      <c r="AJ7" s="90"/>
      <c r="AK7" s="90"/>
      <c r="AL7" s="90"/>
      <c r="AM7" s="90"/>
      <c r="AN7" s="90"/>
      <c r="AO7" s="90"/>
      <c r="AP7" s="90"/>
      <c r="AQ7" s="90"/>
      <c r="AR7" s="90"/>
      <c r="AS7" s="90"/>
      <c r="AT7" s="90"/>
      <c r="AU7" s="90"/>
      <c r="AV7" s="109"/>
    </row>
    <row r="8" spans="4:53" s="85" customFormat="1" ht="10">
      <c r="D8" s="91"/>
      <c r="E8" s="92"/>
      <c r="F8" s="92"/>
      <c r="G8" s="92"/>
      <c r="H8" s="92"/>
      <c r="I8" s="92"/>
      <c r="J8" s="92"/>
      <c r="K8" s="92"/>
      <c r="L8" s="92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  <c r="AA8" s="92"/>
      <c r="AB8" s="92"/>
      <c r="AC8" s="92"/>
      <c r="AD8" s="92"/>
      <c r="AE8" s="92"/>
      <c r="AF8" s="92"/>
      <c r="AG8" s="92"/>
      <c r="AH8" s="92"/>
      <c r="AI8" s="92"/>
      <c r="AJ8" s="92"/>
      <c r="AK8" s="92"/>
      <c r="AL8" s="92"/>
      <c r="AM8" s="92"/>
      <c r="AN8" s="92"/>
      <c r="AO8" s="92"/>
      <c r="AP8" s="92"/>
      <c r="AQ8" s="92"/>
      <c r="AR8" s="92"/>
      <c r="AS8" s="92"/>
      <c r="AT8" s="92"/>
      <c r="AU8" s="92"/>
      <c r="AV8" s="110"/>
      <c r="BA8" s="85" t="s">
        <v>9</v>
      </c>
    </row>
    <row r="9" spans="4:53" s="85" customFormat="1">
      <c r="D9" s="91"/>
      <c r="E9" s="93" t="s">
        <v>10</v>
      </c>
      <c r="F9" s="92"/>
      <c r="G9" s="92"/>
      <c r="H9" s="92"/>
      <c r="I9" s="92"/>
      <c r="J9" s="92"/>
      <c r="K9" s="92"/>
      <c r="L9" s="92"/>
      <c r="M9" s="92"/>
      <c r="N9" s="91"/>
      <c r="O9" s="92"/>
      <c r="P9" s="92"/>
      <c r="Q9" s="208" t="s">
        <v>11</v>
      </c>
      <c r="R9" s="208"/>
      <c r="S9" s="208"/>
      <c r="T9" s="208"/>
      <c r="U9" s="208"/>
      <c r="V9" s="208"/>
      <c r="W9" s="208"/>
      <c r="X9" s="92"/>
      <c r="Y9" s="92"/>
      <c r="Z9" s="92"/>
      <c r="AA9" s="92"/>
      <c r="AB9" s="91"/>
      <c r="AC9" s="208" t="s">
        <v>12</v>
      </c>
      <c r="AD9" s="208"/>
      <c r="AE9" s="208"/>
      <c r="AF9" s="208"/>
      <c r="AG9" s="208"/>
      <c r="AH9" s="92"/>
      <c r="AI9" s="92"/>
      <c r="AJ9" s="91"/>
      <c r="AK9" s="93" t="s">
        <v>13</v>
      </c>
      <c r="AL9" s="92"/>
      <c r="AM9" s="92"/>
      <c r="AN9" s="92"/>
      <c r="AO9" s="92"/>
      <c r="AP9" s="92"/>
      <c r="AQ9" s="92"/>
      <c r="AR9" s="92"/>
      <c r="AS9" s="92"/>
      <c r="AT9" s="92"/>
      <c r="AU9" s="92"/>
      <c r="AV9" s="110"/>
      <c r="BA9" s="85" t="s">
        <v>14</v>
      </c>
    </row>
    <row r="10" spans="4:53" s="85" customFormat="1" ht="10">
      <c r="D10" s="91"/>
      <c r="E10" s="94"/>
      <c r="F10" s="92"/>
      <c r="G10" s="92" t="s">
        <v>15</v>
      </c>
      <c r="H10" s="92"/>
      <c r="I10" s="92"/>
      <c r="J10" s="92"/>
      <c r="K10" s="92"/>
      <c r="L10" s="92"/>
      <c r="M10" s="92"/>
      <c r="N10" s="91"/>
      <c r="O10" s="92"/>
      <c r="P10" s="92"/>
      <c r="Q10" s="212" t="s">
        <v>16</v>
      </c>
      <c r="R10" s="212"/>
      <c r="S10" s="210"/>
      <c r="T10" s="210"/>
      <c r="U10" s="210"/>
      <c r="V10" s="212" t="s">
        <v>17</v>
      </c>
      <c r="W10" s="212"/>
      <c r="X10" s="92"/>
      <c r="Y10" s="92"/>
      <c r="Z10" s="92"/>
      <c r="AA10" s="92"/>
      <c r="AB10" s="91"/>
      <c r="AC10" s="92"/>
      <c r="AD10" s="92"/>
      <c r="AE10" s="92"/>
      <c r="AF10" s="92"/>
      <c r="AG10" s="92"/>
      <c r="AH10" s="92"/>
      <c r="AI10" s="92"/>
      <c r="AJ10" s="91"/>
      <c r="AK10" s="92"/>
      <c r="AL10" s="92"/>
      <c r="AM10" s="92"/>
      <c r="AN10" s="92"/>
      <c r="AO10" s="92"/>
      <c r="AP10" s="92"/>
      <c r="AQ10" s="92"/>
      <c r="AR10" s="92"/>
      <c r="AS10" s="92"/>
      <c r="AT10" s="92"/>
      <c r="AU10" s="92"/>
      <c r="AV10" s="110"/>
      <c r="BA10" s="85" t="s">
        <v>18</v>
      </c>
    </row>
    <row r="11" spans="4:53" s="85" customFormat="1" ht="3" customHeight="1">
      <c r="D11" s="91"/>
      <c r="E11" s="92"/>
      <c r="F11" s="92"/>
      <c r="G11" s="92"/>
      <c r="H11" s="92"/>
      <c r="I11" s="92"/>
      <c r="J11" s="92"/>
      <c r="K11" s="92"/>
      <c r="L11" s="92"/>
      <c r="M11" s="92"/>
      <c r="N11" s="91"/>
      <c r="O11" s="92"/>
      <c r="P11" s="92"/>
      <c r="Q11" s="212"/>
      <c r="R11" s="212"/>
      <c r="S11" s="210"/>
      <c r="T11" s="210"/>
      <c r="U11" s="210"/>
      <c r="V11" s="212"/>
      <c r="W11" s="212"/>
      <c r="X11" s="92"/>
      <c r="Y11" s="92"/>
      <c r="Z11" s="92"/>
      <c r="AA11" s="92"/>
      <c r="AB11" s="91"/>
      <c r="AC11" s="92"/>
      <c r="AD11" s="92"/>
      <c r="AE11" s="92"/>
      <c r="AF11" s="92"/>
      <c r="AG11" s="92"/>
      <c r="AH11" s="92"/>
      <c r="AI11" s="92"/>
      <c r="AJ11" s="91"/>
      <c r="AK11" s="92"/>
      <c r="AL11" s="92"/>
      <c r="AM11" s="92"/>
      <c r="AN11" s="92"/>
      <c r="AO11" s="92"/>
      <c r="AP11" s="92"/>
      <c r="AQ11" s="92"/>
      <c r="AR11" s="92"/>
      <c r="AS11" s="92"/>
      <c r="AT11" s="92"/>
      <c r="AU11" s="92"/>
      <c r="AV11" s="110"/>
    </row>
    <row r="12" spans="4:53" s="85" customFormat="1" ht="10">
      <c r="D12" s="91"/>
      <c r="E12" s="24"/>
      <c r="F12" s="92"/>
      <c r="G12" s="92" t="s">
        <v>19</v>
      </c>
      <c r="H12" s="92"/>
      <c r="I12" s="92"/>
      <c r="J12" s="92"/>
      <c r="K12" s="92"/>
      <c r="L12" s="92"/>
      <c r="M12" s="92"/>
      <c r="N12" s="91"/>
      <c r="O12" s="92"/>
      <c r="P12" s="92"/>
      <c r="Q12" s="212"/>
      <c r="R12" s="212"/>
      <c r="S12" s="210"/>
      <c r="T12" s="210"/>
      <c r="U12" s="210"/>
      <c r="V12" s="212"/>
      <c r="W12" s="212"/>
      <c r="X12" s="92"/>
      <c r="Y12" s="92"/>
      <c r="Z12" s="92"/>
      <c r="AA12" s="92"/>
      <c r="AB12" s="91"/>
      <c r="AC12" s="94"/>
      <c r="AD12" s="92"/>
      <c r="AE12" s="92" t="s">
        <v>20</v>
      </c>
      <c r="AF12" s="92"/>
      <c r="AG12" s="92"/>
      <c r="AH12" s="92"/>
      <c r="AI12" s="92"/>
      <c r="AJ12" s="91"/>
      <c r="AK12" s="24"/>
      <c r="AL12" s="92"/>
      <c r="AM12" s="92" t="s">
        <v>21</v>
      </c>
      <c r="AN12" s="92"/>
      <c r="AO12" s="92"/>
      <c r="AP12" s="92"/>
      <c r="AQ12" s="92"/>
      <c r="AR12" s="92"/>
      <c r="AS12" s="92"/>
      <c r="AT12" s="92"/>
      <c r="AU12" s="92"/>
      <c r="AV12" s="110"/>
    </row>
    <row r="13" spans="4:53" s="85" customFormat="1" ht="3" customHeight="1">
      <c r="D13" s="91"/>
      <c r="E13" s="92"/>
      <c r="F13" s="92"/>
      <c r="G13" s="92"/>
      <c r="H13" s="92"/>
      <c r="I13" s="92"/>
      <c r="J13" s="92"/>
      <c r="K13" s="92"/>
      <c r="L13" s="92"/>
      <c r="M13" s="92"/>
      <c r="N13" s="91"/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  <c r="AA13" s="92"/>
      <c r="AB13" s="91"/>
      <c r="AC13" s="92"/>
      <c r="AD13" s="92"/>
      <c r="AE13" s="92"/>
      <c r="AF13" s="92"/>
      <c r="AG13" s="92"/>
      <c r="AH13" s="92"/>
      <c r="AI13" s="92"/>
      <c r="AJ13" s="91"/>
      <c r="AK13" s="92"/>
      <c r="AL13" s="92"/>
      <c r="AM13" s="92"/>
      <c r="AN13" s="92"/>
      <c r="AO13" s="92"/>
      <c r="AP13" s="92"/>
      <c r="AQ13" s="92"/>
      <c r="AR13" s="92"/>
      <c r="AS13" s="92"/>
      <c r="AT13" s="92"/>
      <c r="AU13" s="92"/>
      <c r="AV13" s="110"/>
    </row>
    <row r="14" spans="4:53" s="85" customFormat="1" ht="10">
      <c r="D14" s="91"/>
      <c r="E14" s="196">
        <v>2</v>
      </c>
      <c r="F14" s="197"/>
      <c r="G14" s="196">
        <v>0</v>
      </c>
      <c r="H14" s="197"/>
      <c r="I14" s="196">
        <v>2</v>
      </c>
      <c r="J14" s="197"/>
      <c r="K14" s="196">
        <v>5</v>
      </c>
      <c r="L14" s="197"/>
      <c r="M14" s="92"/>
      <c r="N14" s="91"/>
      <c r="O14" s="92"/>
      <c r="P14" s="92"/>
      <c r="Q14" s="201">
        <v>0</v>
      </c>
      <c r="R14" s="201">
        <v>1</v>
      </c>
      <c r="S14" s="200" t="s">
        <v>22</v>
      </c>
      <c r="T14" s="200"/>
      <c r="U14" s="200"/>
      <c r="V14" s="201">
        <v>1</v>
      </c>
      <c r="W14" s="201">
        <v>2</v>
      </c>
      <c r="X14" s="92"/>
      <c r="Y14" s="92"/>
      <c r="Z14" s="92"/>
      <c r="AA14" s="92"/>
      <c r="AB14" s="91"/>
      <c r="AC14" s="24"/>
      <c r="AD14" s="92"/>
      <c r="AE14" s="92" t="s">
        <v>23</v>
      </c>
      <c r="AF14" s="92"/>
      <c r="AG14" s="92"/>
      <c r="AH14" s="92"/>
      <c r="AI14" s="92"/>
      <c r="AJ14" s="91"/>
      <c r="AK14" s="24"/>
      <c r="AL14" s="92"/>
      <c r="AM14" s="92" t="s">
        <v>24</v>
      </c>
      <c r="AN14" s="92"/>
      <c r="AO14" s="92"/>
      <c r="AP14" s="92"/>
      <c r="AQ14" s="92"/>
      <c r="AR14" s="92"/>
      <c r="AS14" s="92"/>
      <c r="AT14" s="92"/>
      <c r="AU14" s="92"/>
      <c r="AV14" s="110"/>
    </row>
    <row r="15" spans="4:53" s="85" customFormat="1" ht="10">
      <c r="D15" s="91"/>
      <c r="E15" s="198"/>
      <c r="F15" s="199"/>
      <c r="G15" s="198"/>
      <c r="H15" s="199"/>
      <c r="I15" s="198"/>
      <c r="J15" s="199"/>
      <c r="K15" s="198"/>
      <c r="L15" s="199"/>
      <c r="M15" s="92"/>
      <c r="N15" s="91"/>
      <c r="O15" s="92"/>
      <c r="P15" s="92"/>
      <c r="Q15" s="202"/>
      <c r="R15" s="202"/>
      <c r="S15" s="200"/>
      <c r="T15" s="200"/>
      <c r="U15" s="200"/>
      <c r="V15" s="202"/>
      <c r="W15" s="202"/>
      <c r="X15" s="92"/>
      <c r="Y15" s="92"/>
      <c r="Z15" s="92"/>
      <c r="AA15" s="92"/>
      <c r="AB15" s="91"/>
      <c r="AC15" s="92"/>
      <c r="AD15" s="92"/>
      <c r="AE15" s="92"/>
      <c r="AF15" s="92"/>
      <c r="AG15" s="92"/>
      <c r="AH15" s="92"/>
      <c r="AI15" s="92"/>
      <c r="AJ15" s="91"/>
      <c r="AK15" s="92"/>
      <c r="AL15" s="92"/>
      <c r="AM15" s="92"/>
      <c r="AN15" s="92"/>
      <c r="AO15" s="92"/>
      <c r="AP15" s="92"/>
      <c r="AQ15" s="92"/>
      <c r="AR15" s="92"/>
      <c r="AS15" s="92"/>
      <c r="AT15" s="92"/>
      <c r="AU15" s="92"/>
      <c r="AV15" s="110"/>
    </row>
    <row r="16" spans="4:53" s="85" customFormat="1" ht="4" customHeight="1">
      <c r="D16" s="95"/>
      <c r="E16" s="96"/>
      <c r="F16" s="96"/>
      <c r="G16" s="96"/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  <c r="AA16" s="96"/>
      <c r="AB16" s="96"/>
      <c r="AC16" s="96"/>
      <c r="AD16" s="96"/>
      <c r="AE16" s="96"/>
      <c r="AF16" s="96"/>
      <c r="AG16" s="96"/>
      <c r="AH16" s="96"/>
      <c r="AI16" s="96"/>
      <c r="AJ16" s="96"/>
      <c r="AK16" s="96"/>
      <c r="AL16" s="96"/>
      <c r="AM16" s="96"/>
      <c r="AN16" s="96"/>
      <c r="AO16" s="96"/>
      <c r="AP16" s="96"/>
      <c r="AQ16" s="96"/>
      <c r="AR16" s="96"/>
      <c r="AS16" s="96"/>
      <c r="AT16" s="96"/>
      <c r="AU16" s="96"/>
      <c r="AV16" s="111"/>
    </row>
    <row r="17" spans="4:48" s="85" customFormat="1" ht="3" customHeight="1">
      <c r="D17" s="97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98"/>
      <c r="P17" s="98"/>
      <c r="Q17" s="98"/>
      <c r="R17" s="98"/>
      <c r="S17" s="98"/>
      <c r="T17" s="98"/>
      <c r="U17" s="98"/>
      <c r="V17" s="98"/>
      <c r="W17" s="98"/>
      <c r="X17" s="98"/>
      <c r="Y17" s="98"/>
      <c r="Z17" s="98"/>
      <c r="AA17" s="98"/>
      <c r="AB17" s="98"/>
      <c r="AC17" s="98"/>
      <c r="AD17" s="98"/>
      <c r="AE17" s="98"/>
      <c r="AF17" s="98"/>
      <c r="AG17" s="98"/>
      <c r="AH17" s="98"/>
      <c r="AI17" s="98"/>
      <c r="AJ17" s="98"/>
      <c r="AK17" s="98"/>
      <c r="AL17" s="98"/>
      <c r="AM17" s="98"/>
      <c r="AN17" s="98"/>
      <c r="AO17" s="98"/>
      <c r="AP17" s="98"/>
      <c r="AQ17" s="98"/>
      <c r="AR17" s="98"/>
      <c r="AS17" s="98"/>
      <c r="AT17" s="98"/>
      <c r="AU17" s="98"/>
      <c r="AV17" s="112"/>
    </row>
    <row r="18" spans="4:48" s="85" customFormat="1">
      <c r="D18" s="114" t="s">
        <v>25</v>
      </c>
      <c r="E18" s="115" t="s">
        <v>26</v>
      </c>
      <c r="F18" s="116"/>
      <c r="G18" s="116"/>
      <c r="H18" s="116"/>
      <c r="I18" s="116"/>
      <c r="J18" s="116"/>
      <c r="K18" s="116"/>
      <c r="L18" s="116"/>
      <c r="M18" s="116"/>
      <c r="N18" s="116"/>
      <c r="O18" s="116"/>
      <c r="P18" s="116"/>
      <c r="Q18" s="116"/>
      <c r="R18" s="116"/>
      <c r="S18" s="116"/>
      <c r="T18" s="116"/>
      <c r="U18" s="116"/>
      <c r="V18" s="116"/>
      <c r="W18" s="116"/>
      <c r="X18" s="116"/>
      <c r="Y18" s="116"/>
      <c r="Z18" s="116"/>
      <c r="AA18" s="116"/>
      <c r="AB18" s="116"/>
      <c r="AC18" s="116"/>
      <c r="AD18" s="116"/>
      <c r="AE18" s="116"/>
      <c r="AF18" s="116"/>
      <c r="AG18" s="116"/>
      <c r="AH18" s="116"/>
      <c r="AI18" s="116"/>
      <c r="AJ18" s="116"/>
      <c r="AK18" s="116"/>
      <c r="AL18" s="116"/>
      <c r="AM18" s="116"/>
      <c r="AN18" s="116"/>
      <c r="AO18" s="116"/>
      <c r="AP18" s="116"/>
      <c r="AQ18" s="116"/>
      <c r="AR18" s="116"/>
      <c r="AS18" s="116"/>
      <c r="AT18" s="116"/>
      <c r="AU18" s="116"/>
      <c r="AV18" s="123"/>
    </row>
    <row r="19" spans="4:48" s="85" customFormat="1" ht="3" customHeight="1">
      <c r="D19" s="117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124"/>
    </row>
    <row r="20" spans="4:48" s="85" customFormat="1" ht="3" customHeight="1">
      <c r="D20" s="117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124"/>
    </row>
    <row r="21" spans="4:48">
      <c r="D21" s="118"/>
      <c r="E21" s="8" t="s">
        <v>27</v>
      </c>
      <c r="F21" s="119" t="s">
        <v>28</v>
      </c>
      <c r="G21" s="119"/>
      <c r="H21" s="119"/>
      <c r="I21" s="119"/>
      <c r="J21" s="119"/>
      <c r="K21" s="119"/>
      <c r="L21" s="119"/>
      <c r="M21" s="119"/>
      <c r="N21" s="119"/>
      <c r="O21" s="119"/>
      <c r="P21" s="119"/>
      <c r="Q21" s="119"/>
      <c r="R21" s="119"/>
      <c r="S21" s="119"/>
      <c r="T21" s="119"/>
      <c r="U21" s="119"/>
      <c r="V21" s="119"/>
      <c r="W21" s="119"/>
      <c r="X21" s="119"/>
      <c r="Y21" s="119"/>
      <c r="Z21" s="119"/>
      <c r="AA21" s="119"/>
      <c r="AB21" s="119"/>
      <c r="AC21" s="119"/>
      <c r="AD21" s="119"/>
      <c r="AE21" s="8"/>
      <c r="AF21" s="122"/>
      <c r="AG21" s="122"/>
      <c r="AH21" s="122"/>
      <c r="AI21" s="122"/>
      <c r="AJ21" s="122"/>
      <c r="AK21" s="122"/>
      <c r="AL21" s="122"/>
      <c r="AM21" s="122"/>
      <c r="AN21" s="122"/>
      <c r="AO21" s="122"/>
      <c r="AP21" s="122"/>
      <c r="AQ21" s="122"/>
      <c r="AR21" s="122"/>
      <c r="AS21" s="122"/>
      <c r="AT21" s="122"/>
      <c r="AU21" s="122"/>
      <c r="AV21" s="125"/>
    </row>
    <row r="22" spans="4:48" s="85" customFormat="1" ht="3" customHeight="1">
      <c r="D22" s="117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124"/>
    </row>
    <row r="23" spans="4:48">
      <c r="D23" s="118"/>
      <c r="E23" s="8" t="s">
        <v>29</v>
      </c>
      <c r="F23" s="119" t="s">
        <v>30</v>
      </c>
      <c r="G23" s="119"/>
      <c r="H23" s="119"/>
      <c r="I23" s="119"/>
      <c r="J23" s="119"/>
      <c r="K23" s="119"/>
      <c r="L23" s="119"/>
      <c r="M23" s="119"/>
      <c r="N23" s="119"/>
      <c r="O23" s="119"/>
      <c r="P23" s="119"/>
      <c r="Q23" s="119"/>
      <c r="R23" s="119"/>
      <c r="S23" s="119"/>
      <c r="T23" s="119"/>
      <c r="U23" s="119"/>
      <c r="V23" s="119"/>
      <c r="W23" s="119"/>
      <c r="X23" s="119"/>
      <c r="Y23" s="119"/>
      <c r="Z23" s="119"/>
      <c r="AA23" s="119"/>
      <c r="AB23" s="119"/>
      <c r="AC23" s="119"/>
      <c r="AD23" s="119"/>
      <c r="AE23" s="8"/>
      <c r="AF23" s="207"/>
      <c r="AG23" s="205"/>
      <c r="AH23" s="205"/>
      <c r="AI23" s="205"/>
      <c r="AJ23" s="205"/>
      <c r="AK23" s="205"/>
      <c r="AL23" s="205"/>
      <c r="AM23" s="205"/>
      <c r="AN23" s="205"/>
      <c r="AO23" s="205"/>
      <c r="AP23" s="205"/>
      <c r="AQ23" s="205"/>
      <c r="AR23" s="205"/>
      <c r="AS23" s="205"/>
      <c r="AT23" s="205"/>
      <c r="AU23" s="206"/>
      <c r="AV23" s="125"/>
    </row>
    <row r="24" spans="4:48" s="85" customFormat="1" ht="3" customHeight="1">
      <c r="D24" s="117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124"/>
    </row>
    <row r="25" spans="4:48" ht="14.5">
      <c r="D25" s="118"/>
      <c r="E25" s="8" t="s">
        <v>31</v>
      </c>
      <c r="F25" s="119" t="s">
        <v>32</v>
      </c>
      <c r="G25" s="119"/>
      <c r="H25" s="119"/>
      <c r="I25" s="119"/>
      <c r="J25" s="119"/>
      <c r="K25" s="119"/>
      <c r="L25" s="119"/>
      <c r="M25" s="119"/>
      <c r="N25" s="119"/>
      <c r="O25" s="119"/>
      <c r="P25" s="119"/>
      <c r="Q25" s="119"/>
      <c r="R25" s="119"/>
      <c r="S25" s="119"/>
      <c r="T25" s="119"/>
      <c r="U25" s="119"/>
      <c r="V25" s="119"/>
      <c r="W25" s="119"/>
      <c r="X25" s="119"/>
      <c r="Y25" s="119"/>
      <c r="Z25" s="119"/>
      <c r="AA25" s="119"/>
      <c r="AB25" s="119"/>
      <c r="AC25" s="119"/>
      <c r="AD25" s="119"/>
      <c r="AE25" s="8"/>
      <c r="AF25" s="209"/>
      <c r="AG25" s="205"/>
      <c r="AH25" s="205"/>
      <c r="AI25" s="205"/>
      <c r="AJ25" s="205"/>
      <c r="AK25" s="205"/>
      <c r="AL25" s="205"/>
      <c r="AM25" s="205"/>
      <c r="AN25" s="205"/>
      <c r="AO25" s="205"/>
      <c r="AP25" s="205"/>
      <c r="AQ25" s="205"/>
      <c r="AR25" s="205"/>
      <c r="AS25" s="205"/>
      <c r="AT25" s="205"/>
      <c r="AU25" s="206"/>
      <c r="AV25" s="125"/>
    </row>
    <row r="26" spans="4:48" s="85" customFormat="1" ht="3" customHeight="1">
      <c r="D26" s="117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124"/>
    </row>
    <row r="27" spans="4:48">
      <c r="D27" s="118"/>
      <c r="E27" s="8" t="s">
        <v>33</v>
      </c>
      <c r="F27" s="119" t="s">
        <v>34</v>
      </c>
      <c r="G27" s="119"/>
      <c r="H27" s="119"/>
      <c r="I27" s="119"/>
      <c r="J27" s="119"/>
      <c r="K27" s="119"/>
      <c r="L27" s="119"/>
      <c r="M27" s="119"/>
      <c r="N27" s="119"/>
      <c r="O27" s="119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  <c r="AA27" s="119"/>
      <c r="AB27" s="119"/>
      <c r="AC27" s="119"/>
      <c r="AD27" s="119"/>
      <c r="AE27" s="8"/>
      <c r="AF27" s="204"/>
      <c r="AG27" s="205"/>
      <c r="AH27" s="205"/>
      <c r="AI27" s="205"/>
      <c r="AJ27" s="205"/>
      <c r="AK27" s="205"/>
      <c r="AL27" s="205"/>
      <c r="AM27" s="205"/>
      <c r="AN27" s="205"/>
      <c r="AO27" s="205"/>
      <c r="AP27" s="205"/>
      <c r="AQ27" s="205"/>
      <c r="AR27" s="205"/>
      <c r="AS27" s="205"/>
      <c r="AT27" s="205"/>
      <c r="AU27" s="206"/>
      <c r="AV27" s="125"/>
    </row>
    <row r="28" spans="4:48" s="85" customFormat="1" ht="3" customHeight="1">
      <c r="D28" s="117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124"/>
    </row>
    <row r="29" spans="4:48">
      <c r="D29" s="120"/>
      <c r="E29" s="121"/>
      <c r="F29" s="121"/>
      <c r="G29" s="121"/>
      <c r="H29" s="121"/>
      <c r="I29" s="121"/>
      <c r="J29" s="121"/>
      <c r="K29" s="121"/>
      <c r="L29" s="121"/>
      <c r="M29" s="121"/>
      <c r="N29" s="121"/>
      <c r="O29" s="121"/>
      <c r="P29" s="121"/>
      <c r="Q29" s="121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  <c r="AC29" s="121"/>
      <c r="AD29" s="121"/>
      <c r="AE29" s="121"/>
      <c r="AF29" s="121"/>
      <c r="AG29" s="121"/>
      <c r="AH29" s="121"/>
      <c r="AI29" s="121"/>
      <c r="AJ29" s="121"/>
      <c r="AK29" s="121"/>
      <c r="AL29" s="121"/>
      <c r="AM29" s="121"/>
      <c r="AN29" s="121"/>
      <c r="AO29" s="121"/>
      <c r="AP29" s="121"/>
      <c r="AQ29" s="121"/>
      <c r="AR29" s="121"/>
      <c r="AS29" s="121"/>
      <c r="AT29" s="121"/>
      <c r="AU29" s="121"/>
      <c r="AV29" s="126"/>
    </row>
    <row r="30" spans="4:48" ht="3" customHeight="1"/>
    <row r="31" spans="4:48" s="85" customFormat="1">
      <c r="D31" s="7" t="s">
        <v>35</v>
      </c>
      <c r="E31" s="8" t="s">
        <v>36</v>
      </c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</row>
    <row r="32" spans="4:48" ht="6" customHeight="1"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</row>
    <row r="33" spans="4:48">
      <c r="D33" s="10"/>
      <c r="E33" s="99">
        <v>1</v>
      </c>
      <c r="F33" s="10" t="s">
        <v>37</v>
      </c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207"/>
      <c r="AG33" s="205"/>
      <c r="AH33" s="205"/>
      <c r="AI33" s="205"/>
      <c r="AJ33" s="205"/>
      <c r="AK33" s="205"/>
      <c r="AL33" s="205"/>
      <c r="AM33" s="205"/>
      <c r="AN33" s="205"/>
      <c r="AO33" s="205"/>
      <c r="AP33" s="205"/>
      <c r="AQ33" s="205"/>
      <c r="AR33" s="205"/>
      <c r="AS33" s="205"/>
      <c r="AT33" s="205"/>
      <c r="AU33" s="206"/>
      <c r="AV33" s="10"/>
    </row>
    <row r="34" spans="4:48" ht="3" customHeight="1"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</row>
    <row r="35" spans="4:48">
      <c r="D35" s="10"/>
      <c r="E35" s="99">
        <v>2</v>
      </c>
      <c r="F35" s="10" t="s">
        <v>38</v>
      </c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24"/>
      <c r="AG35" s="12" t="s">
        <v>39</v>
      </c>
      <c r="AH35" s="10"/>
      <c r="AI35" s="10"/>
      <c r="AJ35" s="24"/>
      <c r="AK35" s="12" t="s">
        <v>40</v>
      </c>
      <c r="AL35" s="10"/>
      <c r="AM35" s="12" t="s">
        <v>41</v>
      </c>
      <c r="AN35" s="10"/>
      <c r="AO35" s="10"/>
      <c r="AP35" s="10"/>
      <c r="AQ35" s="168"/>
      <c r="AR35" s="169"/>
      <c r="AS35" s="169"/>
      <c r="AT35" s="169"/>
      <c r="AU35" s="170"/>
      <c r="AV35" s="10"/>
    </row>
    <row r="36" spans="4:48">
      <c r="D36" s="10"/>
      <c r="E36" s="10"/>
      <c r="F36" s="10" t="s">
        <v>42</v>
      </c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</row>
    <row r="37" spans="4:48">
      <c r="D37" s="10"/>
      <c r="E37" s="10"/>
      <c r="F37" s="10" t="s">
        <v>43</v>
      </c>
      <c r="G37" s="10" t="s">
        <v>44</v>
      </c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22"/>
      <c r="AG37" s="122"/>
      <c r="AH37" s="122"/>
      <c r="AI37" s="122"/>
      <c r="AJ37" s="122"/>
      <c r="AK37" s="122"/>
      <c r="AL37" s="122"/>
      <c r="AM37" s="122"/>
      <c r="AN37" s="122"/>
      <c r="AO37" s="122"/>
      <c r="AP37" s="122"/>
      <c r="AQ37" s="122"/>
      <c r="AR37" s="122"/>
      <c r="AS37" s="122"/>
      <c r="AT37" s="122"/>
      <c r="AU37" s="122"/>
      <c r="AV37" s="10"/>
    </row>
    <row r="38" spans="4:48" ht="3" customHeight="1"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</row>
    <row r="39" spans="4:48">
      <c r="D39" s="10"/>
      <c r="E39" s="10"/>
      <c r="F39" s="10" t="s">
        <v>45</v>
      </c>
      <c r="G39" s="10" t="s">
        <v>46</v>
      </c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207"/>
      <c r="AG39" s="205"/>
      <c r="AH39" s="205"/>
      <c r="AI39" s="205"/>
      <c r="AJ39" s="205"/>
      <c r="AK39" s="205"/>
      <c r="AL39" s="205"/>
      <c r="AM39" s="205"/>
      <c r="AN39" s="205"/>
      <c r="AO39" s="205"/>
      <c r="AP39" s="205"/>
      <c r="AQ39" s="205"/>
      <c r="AR39" s="205"/>
      <c r="AS39" s="205"/>
      <c r="AT39" s="205"/>
      <c r="AU39" s="206"/>
      <c r="AV39" s="10"/>
    </row>
    <row r="40" spans="4:48" ht="4" customHeight="1"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</row>
    <row r="41" spans="4:48" ht="4" customHeight="1"/>
    <row r="42" spans="4:48" s="85" customFormat="1">
      <c r="D42" s="7" t="s">
        <v>47</v>
      </c>
      <c r="E42" s="8" t="s">
        <v>48</v>
      </c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34"/>
      <c r="AH42" s="34"/>
      <c r="AI42" s="34"/>
      <c r="AJ42" s="34"/>
      <c r="AK42" s="34"/>
      <c r="AL42" s="34"/>
      <c r="AM42" s="34"/>
      <c r="AN42" s="34"/>
      <c r="AO42" s="34"/>
      <c r="AP42" s="34"/>
      <c r="AQ42" s="34"/>
      <c r="AR42" s="34"/>
      <c r="AS42" s="34"/>
      <c r="AT42" s="34"/>
      <c r="AU42" s="34"/>
      <c r="AV42" s="34"/>
    </row>
    <row r="43" spans="4:48" ht="6" customHeight="1"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</row>
    <row r="44" spans="4:48">
      <c r="D44" s="10"/>
      <c r="E44" s="99">
        <v>1</v>
      </c>
      <c r="F44" s="10"/>
      <c r="G44" s="99" t="s">
        <v>49</v>
      </c>
      <c r="H44" s="203" t="s">
        <v>50</v>
      </c>
      <c r="I44" s="203"/>
      <c r="J44" s="203"/>
      <c r="K44" s="203"/>
      <c r="L44" s="203"/>
      <c r="M44" s="203"/>
      <c r="N44" s="203"/>
      <c r="O44" s="203"/>
      <c r="P44" s="203"/>
      <c r="Q44" s="203"/>
      <c r="R44" s="203"/>
      <c r="S44" s="203"/>
      <c r="T44" s="203"/>
      <c r="U44" s="203"/>
      <c r="V44" s="203"/>
      <c r="W44" s="203"/>
      <c r="X44" s="203"/>
      <c r="Y44" s="203"/>
      <c r="Z44" s="203"/>
      <c r="AA44" s="203"/>
      <c r="AB44" s="203"/>
      <c r="AC44" s="203"/>
      <c r="AD44" s="203"/>
      <c r="AE44" s="203"/>
      <c r="AF44" s="203"/>
      <c r="AG44" s="203"/>
      <c r="AH44" s="10"/>
      <c r="AI44" s="24"/>
      <c r="AJ44" s="12" t="s">
        <v>39</v>
      </c>
      <c r="AK44" s="10"/>
      <c r="AL44" s="10"/>
      <c r="AM44" s="24"/>
      <c r="AN44" s="12" t="s">
        <v>40</v>
      </c>
      <c r="AO44" s="10"/>
      <c r="AP44" s="10"/>
      <c r="AQ44" s="10"/>
      <c r="AR44" s="10"/>
      <c r="AS44" s="10"/>
      <c r="AT44" s="10"/>
      <c r="AU44" s="10"/>
      <c r="AV44" s="10"/>
    </row>
    <row r="45" spans="4:48">
      <c r="D45" s="10"/>
      <c r="E45" s="10"/>
      <c r="F45" s="10"/>
      <c r="G45" s="10"/>
      <c r="H45" s="203"/>
      <c r="I45" s="203"/>
      <c r="J45" s="203"/>
      <c r="K45" s="203"/>
      <c r="L45" s="203"/>
      <c r="M45" s="203"/>
      <c r="N45" s="203"/>
      <c r="O45" s="203"/>
      <c r="P45" s="203"/>
      <c r="Q45" s="203"/>
      <c r="R45" s="203"/>
      <c r="S45" s="203"/>
      <c r="T45" s="203"/>
      <c r="U45" s="203"/>
      <c r="V45" s="203"/>
      <c r="W45" s="203"/>
      <c r="X45" s="203"/>
      <c r="Y45" s="203"/>
      <c r="Z45" s="203"/>
      <c r="AA45" s="203"/>
      <c r="AB45" s="203"/>
      <c r="AC45" s="203"/>
      <c r="AD45" s="203"/>
      <c r="AE45" s="203"/>
      <c r="AF45" s="203"/>
      <c r="AG45" s="203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</row>
    <row r="46" spans="4:48">
      <c r="D46" s="10"/>
      <c r="E46" s="10"/>
      <c r="F46" s="10"/>
      <c r="G46" s="10"/>
      <c r="H46" s="101" t="s">
        <v>51</v>
      </c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</row>
    <row r="47" spans="4:48">
      <c r="D47" s="10"/>
      <c r="E47" s="10"/>
      <c r="F47" s="10"/>
      <c r="G47" s="99" t="s">
        <v>52</v>
      </c>
      <c r="H47" s="203" t="s">
        <v>53</v>
      </c>
      <c r="I47" s="203"/>
      <c r="J47" s="203"/>
      <c r="K47" s="203"/>
      <c r="L47" s="203"/>
      <c r="M47" s="203"/>
      <c r="N47" s="203"/>
      <c r="O47" s="203"/>
      <c r="P47" s="203"/>
      <c r="Q47" s="203"/>
      <c r="R47" s="203"/>
      <c r="S47" s="203"/>
      <c r="T47" s="203"/>
      <c r="U47" s="203"/>
      <c r="V47" s="203"/>
      <c r="W47" s="203"/>
      <c r="X47" s="203"/>
      <c r="Y47" s="203"/>
      <c r="Z47" s="203"/>
      <c r="AA47" s="203"/>
      <c r="AB47" s="203"/>
      <c r="AC47" s="203"/>
      <c r="AD47" s="203"/>
      <c r="AE47" s="203"/>
      <c r="AF47" s="203"/>
      <c r="AG47" s="203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</row>
    <row r="48" spans="4:48">
      <c r="D48" s="10"/>
      <c r="E48" s="10"/>
      <c r="F48" s="10"/>
      <c r="G48" s="10"/>
      <c r="H48" s="203"/>
      <c r="I48" s="203"/>
      <c r="J48" s="203"/>
      <c r="K48" s="203"/>
      <c r="L48" s="203"/>
      <c r="M48" s="203"/>
      <c r="N48" s="203"/>
      <c r="O48" s="203"/>
      <c r="P48" s="203"/>
      <c r="Q48" s="203"/>
      <c r="R48" s="203"/>
      <c r="S48" s="203"/>
      <c r="T48" s="203"/>
      <c r="U48" s="203"/>
      <c r="V48" s="203"/>
      <c r="W48" s="203"/>
      <c r="X48" s="203"/>
      <c r="Y48" s="203"/>
      <c r="Z48" s="203"/>
      <c r="AA48" s="203"/>
      <c r="AB48" s="203"/>
      <c r="AC48" s="203"/>
      <c r="AD48" s="203"/>
      <c r="AE48" s="203"/>
      <c r="AF48" s="203"/>
      <c r="AG48" s="203"/>
      <c r="AH48" s="10"/>
      <c r="AI48" s="24"/>
      <c r="AJ48" s="12" t="s">
        <v>39</v>
      </c>
      <c r="AK48" s="10"/>
      <c r="AL48" s="10"/>
      <c r="AM48" s="24"/>
      <c r="AN48" s="12" t="s">
        <v>40</v>
      </c>
      <c r="AO48" s="10"/>
      <c r="AP48" s="10"/>
      <c r="AQ48" s="10"/>
      <c r="AR48" s="10"/>
      <c r="AS48" s="10"/>
      <c r="AT48" s="10"/>
      <c r="AU48" s="10"/>
      <c r="AV48" s="10"/>
    </row>
    <row r="49" spans="4:48" ht="3" customHeight="1"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</row>
    <row r="50" spans="4:48">
      <c r="D50" s="10"/>
      <c r="E50" s="99">
        <v>2</v>
      </c>
      <c r="F50" s="10" t="s">
        <v>54</v>
      </c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24"/>
      <c r="AJ50" s="12" t="s">
        <v>39</v>
      </c>
      <c r="AK50" s="10"/>
      <c r="AL50" s="10"/>
      <c r="AM50" s="24"/>
      <c r="AN50" s="12" t="s">
        <v>40</v>
      </c>
      <c r="AO50" s="10"/>
      <c r="AP50" s="168"/>
      <c r="AQ50" s="169"/>
      <c r="AR50" s="169"/>
      <c r="AS50" s="169"/>
      <c r="AT50" s="169"/>
      <c r="AU50" s="170"/>
      <c r="AV50" s="10"/>
    </row>
    <row r="51" spans="4:48">
      <c r="D51" s="10"/>
      <c r="E51" s="10"/>
      <c r="F51" s="101" t="s">
        <v>55</v>
      </c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</row>
    <row r="52" spans="4:48" ht="3" customHeight="1"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</row>
    <row r="53" spans="4:48">
      <c r="D53" s="10"/>
      <c r="E53" s="99">
        <v>3</v>
      </c>
      <c r="F53" s="10" t="s">
        <v>56</v>
      </c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24"/>
      <c r="AJ53" s="12" t="s">
        <v>39</v>
      </c>
      <c r="AK53" s="10"/>
      <c r="AL53" s="10"/>
      <c r="AM53" s="24"/>
      <c r="AN53" s="12" t="s">
        <v>40</v>
      </c>
      <c r="AO53" s="10"/>
      <c r="AP53" s="168"/>
      <c r="AQ53" s="169"/>
      <c r="AR53" s="169"/>
      <c r="AS53" s="169"/>
      <c r="AT53" s="169"/>
      <c r="AU53" s="170"/>
      <c r="AV53" s="10"/>
    </row>
    <row r="54" spans="4:48">
      <c r="D54" s="10"/>
      <c r="E54" s="10"/>
      <c r="F54" s="101" t="s">
        <v>57</v>
      </c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</row>
    <row r="55" spans="4:48" ht="4" customHeight="1"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</row>
    <row r="56" spans="4:48" ht="3" customHeight="1"/>
    <row r="57" spans="4:48" s="85" customFormat="1">
      <c r="D57" s="7" t="s">
        <v>58</v>
      </c>
      <c r="E57" s="8" t="s">
        <v>59</v>
      </c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G57" s="34"/>
      <c r="AH57" s="34"/>
      <c r="AI57" s="34"/>
      <c r="AJ57" s="34"/>
      <c r="AK57" s="34"/>
      <c r="AL57" s="34"/>
      <c r="AM57" s="34"/>
      <c r="AN57" s="34"/>
      <c r="AO57" s="34"/>
      <c r="AP57" s="34"/>
      <c r="AQ57" s="34"/>
      <c r="AR57" s="34"/>
      <c r="AS57" s="34"/>
      <c r="AT57" s="34"/>
      <c r="AU57" s="34"/>
      <c r="AV57" s="34"/>
    </row>
    <row r="58" spans="4:48" ht="6" customHeight="1"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</row>
    <row r="59" spans="4:48">
      <c r="D59" s="10"/>
      <c r="E59" s="99">
        <v>4</v>
      </c>
      <c r="F59" s="10" t="s">
        <v>60</v>
      </c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68"/>
      <c r="AQ59" s="169"/>
      <c r="AR59" s="169"/>
      <c r="AS59" s="169"/>
      <c r="AT59" s="169"/>
      <c r="AU59" s="170"/>
      <c r="AV59" s="10"/>
    </row>
    <row r="60" spans="4:48">
      <c r="D60" s="10"/>
      <c r="E60" s="10"/>
      <c r="F60" s="10" t="s">
        <v>61</v>
      </c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</row>
    <row r="61" spans="4:48" ht="3" customHeight="1"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</row>
    <row r="62" spans="4:48">
      <c r="D62" s="10"/>
      <c r="E62" s="99">
        <v>5</v>
      </c>
      <c r="F62" s="203" t="s">
        <v>62</v>
      </c>
      <c r="G62" s="203"/>
      <c r="H62" s="203"/>
      <c r="I62" s="203"/>
      <c r="J62" s="203"/>
      <c r="K62" s="203"/>
      <c r="L62" s="203"/>
      <c r="M62" s="203"/>
      <c r="N62" s="203"/>
      <c r="O62" s="203"/>
      <c r="P62" s="203"/>
      <c r="Q62" s="203"/>
      <c r="R62" s="203"/>
      <c r="S62" s="203"/>
      <c r="T62" s="203"/>
      <c r="U62" s="203"/>
      <c r="V62" s="203"/>
      <c r="W62" s="203"/>
      <c r="X62" s="203"/>
      <c r="Y62" s="203"/>
      <c r="Z62" s="203"/>
      <c r="AA62" s="203"/>
      <c r="AB62" s="203"/>
      <c r="AC62" s="203"/>
      <c r="AD62" s="203"/>
      <c r="AE62" s="203"/>
      <c r="AF62" s="203"/>
      <c r="AG62" s="203"/>
      <c r="AH62" s="10"/>
      <c r="AI62" s="24"/>
      <c r="AJ62" s="12" t="s">
        <v>39</v>
      </c>
      <c r="AK62" s="10"/>
      <c r="AL62" s="10"/>
      <c r="AM62" s="24"/>
      <c r="AN62" s="12" t="s">
        <v>40</v>
      </c>
      <c r="AO62" s="10"/>
      <c r="AP62" s="168"/>
      <c r="AQ62" s="169"/>
      <c r="AR62" s="169"/>
      <c r="AS62" s="169"/>
      <c r="AT62" s="169"/>
      <c r="AU62" s="170"/>
      <c r="AV62" s="10"/>
    </row>
    <row r="63" spans="4:48">
      <c r="D63" s="10"/>
      <c r="E63" s="10"/>
      <c r="F63" s="203"/>
      <c r="G63" s="203"/>
      <c r="H63" s="203"/>
      <c r="I63" s="203"/>
      <c r="J63" s="203"/>
      <c r="K63" s="203"/>
      <c r="L63" s="203"/>
      <c r="M63" s="203"/>
      <c r="N63" s="203"/>
      <c r="O63" s="203"/>
      <c r="P63" s="203"/>
      <c r="Q63" s="203"/>
      <c r="R63" s="203"/>
      <c r="S63" s="203"/>
      <c r="T63" s="203"/>
      <c r="U63" s="203"/>
      <c r="V63" s="203"/>
      <c r="W63" s="203"/>
      <c r="X63" s="203"/>
      <c r="Y63" s="203"/>
      <c r="Z63" s="203"/>
      <c r="AA63" s="203"/>
      <c r="AB63" s="203"/>
      <c r="AC63" s="203"/>
      <c r="AD63" s="203"/>
      <c r="AE63" s="203"/>
      <c r="AF63" s="203"/>
      <c r="AG63" s="203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</row>
    <row r="64" spans="4:48">
      <c r="D64" s="10"/>
      <c r="E64" s="10"/>
      <c r="F64" s="10" t="s">
        <v>63</v>
      </c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</row>
    <row r="65" spans="4:48" ht="3" customHeight="1"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</row>
    <row r="66" spans="4:48">
      <c r="D66" s="10"/>
      <c r="E66" s="99">
        <v>6</v>
      </c>
      <c r="F66" s="203" t="s">
        <v>64</v>
      </c>
      <c r="G66" s="203"/>
      <c r="H66" s="203"/>
      <c r="I66" s="203"/>
      <c r="J66" s="203"/>
      <c r="K66" s="203"/>
      <c r="L66" s="203"/>
      <c r="M66" s="203"/>
      <c r="N66" s="203"/>
      <c r="O66" s="203"/>
      <c r="P66" s="203"/>
      <c r="Q66" s="203"/>
      <c r="R66" s="203"/>
      <c r="S66" s="203"/>
      <c r="T66" s="203"/>
      <c r="U66" s="203"/>
      <c r="V66" s="203"/>
      <c r="W66" s="203"/>
      <c r="X66" s="203"/>
      <c r="Y66" s="203"/>
      <c r="Z66" s="203"/>
      <c r="AA66" s="203"/>
      <c r="AB66" s="203"/>
      <c r="AC66" s="203"/>
      <c r="AD66" s="203"/>
      <c r="AE66" s="203"/>
      <c r="AF66" s="203"/>
      <c r="AG66" s="203"/>
      <c r="AH66" s="10"/>
      <c r="AI66" s="24"/>
      <c r="AJ66" s="12" t="s">
        <v>39</v>
      </c>
      <c r="AK66" s="10"/>
      <c r="AL66" s="10"/>
      <c r="AM66" s="24"/>
      <c r="AN66" s="12" t="s">
        <v>40</v>
      </c>
      <c r="AO66" s="10"/>
      <c r="AP66" s="168"/>
      <c r="AQ66" s="169"/>
      <c r="AR66" s="169"/>
      <c r="AS66" s="169"/>
      <c r="AT66" s="169"/>
      <c r="AU66" s="170"/>
      <c r="AV66" s="10"/>
    </row>
    <row r="67" spans="4:48">
      <c r="D67" s="10"/>
      <c r="E67" s="10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</row>
    <row r="68" spans="4:48">
      <c r="D68" s="10"/>
      <c r="E68" s="10"/>
      <c r="F68" s="203"/>
      <c r="G68" s="203"/>
      <c r="H68" s="203"/>
      <c r="I68" s="203"/>
      <c r="J68" s="203"/>
      <c r="K68" s="203"/>
      <c r="L68" s="203"/>
      <c r="M68" s="203"/>
      <c r="N68" s="203"/>
      <c r="O68" s="203"/>
      <c r="P68" s="203"/>
      <c r="Q68" s="203"/>
      <c r="R68" s="203"/>
      <c r="S68" s="203"/>
      <c r="T68" s="203"/>
      <c r="U68" s="203"/>
      <c r="V68" s="203"/>
      <c r="W68" s="203"/>
      <c r="X68" s="203"/>
      <c r="Y68" s="203"/>
      <c r="Z68" s="203"/>
      <c r="AA68" s="203"/>
      <c r="AB68" s="203"/>
      <c r="AC68" s="203"/>
      <c r="AD68" s="203"/>
      <c r="AE68" s="203"/>
      <c r="AF68" s="203"/>
      <c r="AG68" s="203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</row>
    <row r="69" spans="4:48">
      <c r="D69" s="10"/>
      <c r="E69" s="10"/>
      <c r="F69" s="10" t="s">
        <v>65</v>
      </c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</row>
    <row r="70" spans="4:48" ht="3" customHeight="1"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</row>
    <row r="71" spans="4:48">
      <c r="D71" s="10"/>
      <c r="E71" s="99">
        <v>7</v>
      </c>
      <c r="F71" s="10" t="s">
        <v>66</v>
      </c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51" t="s">
        <v>67</v>
      </c>
      <c r="AG71" s="127">
        <v>4</v>
      </c>
      <c r="AH71" s="51" t="s">
        <v>68</v>
      </c>
      <c r="AI71" s="127">
        <v>5</v>
      </c>
      <c r="AJ71" s="51" t="s">
        <v>68</v>
      </c>
      <c r="AK71" s="127">
        <v>6</v>
      </c>
      <c r="AL71" s="51" t="s">
        <v>69</v>
      </c>
      <c r="AM71" s="10"/>
      <c r="AN71" s="10"/>
      <c r="AO71" s="10"/>
      <c r="AP71" s="168">
        <f>AP59-AP62-AP66</f>
        <v>0</v>
      </c>
      <c r="AQ71" s="169"/>
      <c r="AR71" s="169"/>
      <c r="AS71" s="169"/>
      <c r="AT71" s="169"/>
      <c r="AU71" s="170"/>
      <c r="AV71" s="10"/>
    </row>
    <row r="72" spans="4:48" ht="3" customHeight="1"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</row>
    <row r="73" spans="4:48">
      <c r="D73" s="10"/>
      <c r="E73" s="99">
        <v>8</v>
      </c>
      <c r="F73" s="10" t="s">
        <v>70</v>
      </c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24"/>
      <c r="AJ73" s="12" t="s">
        <v>39</v>
      </c>
      <c r="AK73" s="10"/>
      <c r="AL73" s="10"/>
      <c r="AM73" s="24"/>
      <c r="AN73" s="12" t="s">
        <v>40</v>
      </c>
      <c r="AO73" s="10"/>
      <c r="AP73" s="168"/>
      <c r="AQ73" s="169"/>
      <c r="AR73" s="169"/>
      <c r="AS73" s="169"/>
      <c r="AT73" s="169"/>
      <c r="AU73" s="170"/>
      <c r="AV73" s="10"/>
    </row>
    <row r="74" spans="4:48">
      <c r="D74" s="10"/>
      <c r="E74" s="10"/>
      <c r="F74" s="101" t="s">
        <v>71</v>
      </c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</row>
    <row r="75" spans="4:48" ht="3" customHeight="1"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</row>
    <row r="76" spans="4:48">
      <c r="D76" s="10"/>
      <c r="E76" s="99">
        <v>9</v>
      </c>
      <c r="F76" s="10" t="s">
        <v>72</v>
      </c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51" t="s">
        <v>67</v>
      </c>
      <c r="AG76" s="127">
        <v>7</v>
      </c>
      <c r="AH76" s="51" t="s">
        <v>68</v>
      </c>
      <c r="AI76" s="127">
        <v>8</v>
      </c>
      <c r="AJ76" s="51" t="s">
        <v>69</v>
      </c>
      <c r="AK76" s="10"/>
      <c r="AL76" s="10"/>
      <c r="AM76" s="10"/>
      <c r="AN76" s="10"/>
      <c r="AO76" s="10"/>
      <c r="AP76" s="168">
        <f>AP71-AP73</f>
        <v>0</v>
      </c>
      <c r="AQ76" s="169"/>
      <c r="AR76" s="169"/>
      <c r="AS76" s="169"/>
      <c r="AT76" s="169"/>
      <c r="AU76" s="170"/>
      <c r="AV76" s="10"/>
    </row>
    <row r="77" spans="4:48" ht="3" customHeight="1"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</row>
    <row r="78" spans="4:48">
      <c r="D78" s="10"/>
      <c r="E78" s="99">
        <v>10</v>
      </c>
      <c r="F78" s="203" t="s">
        <v>73</v>
      </c>
      <c r="G78" s="203"/>
      <c r="H78" s="203"/>
      <c r="I78" s="203"/>
      <c r="J78" s="203"/>
      <c r="K78" s="203"/>
      <c r="L78" s="203"/>
      <c r="M78" s="203"/>
      <c r="N78" s="203"/>
      <c r="O78" s="203"/>
      <c r="P78" s="203"/>
      <c r="Q78" s="203"/>
      <c r="R78" s="203"/>
      <c r="S78" s="203"/>
      <c r="T78" s="203"/>
      <c r="U78" s="203"/>
      <c r="V78" s="203"/>
      <c r="W78" s="203"/>
      <c r="X78" s="203"/>
      <c r="Y78" s="203"/>
      <c r="Z78" s="203"/>
      <c r="AA78" s="203"/>
      <c r="AB78" s="203"/>
      <c r="AC78" s="203"/>
      <c r="AD78" s="203"/>
      <c r="AE78" s="203"/>
      <c r="AF78" s="203"/>
      <c r="AG78" s="203"/>
      <c r="AH78" s="203"/>
      <c r="AI78" s="24"/>
      <c r="AJ78" s="12" t="s">
        <v>39</v>
      </c>
      <c r="AK78" s="10"/>
      <c r="AL78" s="10"/>
      <c r="AM78" s="24"/>
      <c r="AN78" s="12" t="s">
        <v>40</v>
      </c>
      <c r="AO78" s="10"/>
      <c r="AP78" s="168"/>
      <c r="AQ78" s="169"/>
      <c r="AR78" s="169"/>
      <c r="AS78" s="169"/>
      <c r="AT78" s="169"/>
      <c r="AU78" s="170"/>
      <c r="AV78" s="10"/>
    </row>
    <row r="79" spans="4:48">
      <c r="D79" s="10"/>
      <c r="E79" s="10"/>
      <c r="F79" s="203"/>
      <c r="G79" s="203"/>
      <c r="H79" s="203"/>
      <c r="I79" s="203"/>
      <c r="J79" s="203"/>
      <c r="K79" s="203"/>
      <c r="L79" s="203"/>
      <c r="M79" s="203"/>
      <c r="N79" s="203"/>
      <c r="O79" s="203"/>
      <c r="P79" s="203"/>
      <c r="Q79" s="203"/>
      <c r="R79" s="203"/>
      <c r="S79" s="203"/>
      <c r="T79" s="203"/>
      <c r="U79" s="203"/>
      <c r="V79" s="203"/>
      <c r="W79" s="203"/>
      <c r="X79" s="203"/>
      <c r="Y79" s="203"/>
      <c r="Z79" s="203"/>
      <c r="AA79" s="203"/>
      <c r="AB79" s="203"/>
      <c r="AC79" s="203"/>
      <c r="AD79" s="203"/>
      <c r="AE79" s="203"/>
      <c r="AF79" s="203"/>
      <c r="AG79" s="203"/>
      <c r="AH79" s="203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</row>
    <row r="80" spans="4:48">
      <c r="D80" s="10"/>
      <c r="E80" s="10"/>
      <c r="F80" s="10" t="s">
        <v>65</v>
      </c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</row>
    <row r="81" spans="4:48" ht="3" customHeight="1"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</row>
    <row r="82" spans="4:48">
      <c r="D82" s="10"/>
      <c r="E82" s="99">
        <v>11</v>
      </c>
      <c r="F82" s="10" t="s">
        <v>74</v>
      </c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24"/>
      <c r="AQ82" s="10"/>
      <c r="AR82" s="10"/>
      <c r="AS82" s="10"/>
      <c r="AT82" s="10"/>
      <c r="AU82" s="10"/>
      <c r="AV82" s="10"/>
    </row>
    <row r="83" spans="4:48">
      <c r="D83" s="10"/>
      <c r="E83" s="10"/>
      <c r="F83" s="10" t="s">
        <v>43</v>
      </c>
      <c r="G83" s="10" t="s">
        <v>75</v>
      </c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</row>
    <row r="84" spans="4:48">
      <c r="D84" s="10"/>
      <c r="E84" s="10"/>
      <c r="F84" s="10" t="s">
        <v>45</v>
      </c>
      <c r="G84" s="10" t="s">
        <v>76</v>
      </c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</row>
    <row r="85" spans="4:48">
      <c r="D85" s="10"/>
      <c r="E85" s="10"/>
      <c r="F85" s="10" t="s">
        <v>77</v>
      </c>
      <c r="G85" s="10" t="s">
        <v>78</v>
      </c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</row>
    <row r="86" spans="4:48">
      <c r="D86" s="10"/>
      <c r="E86" s="10"/>
      <c r="F86" s="10" t="s">
        <v>79</v>
      </c>
      <c r="G86" s="10" t="s">
        <v>80</v>
      </c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 t="s">
        <v>81</v>
      </c>
      <c r="AJ86" s="10"/>
      <c r="AK86" s="10"/>
      <c r="AL86" s="10"/>
      <c r="AM86" s="10"/>
      <c r="AN86" s="10"/>
      <c r="AO86" s="10"/>
      <c r="AP86" s="24"/>
      <c r="AQ86" s="12" t="s">
        <v>82</v>
      </c>
      <c r="AR86" s="10"/>
      <c r="AS86" s="10"/>
      <c r="AT86" s="10"/>
      <c r="AU86" s="10"/>
      <c r="AV86" s="10"/>
    </row>
    <row r="87" spans="4:48">
      <c r="D87" s="10"/>
      <c r="E87" s="10"/>
      <c r="F87" s="101" t="s">
        <v>83</v>
      </c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</row>
    <row r="88" spans="4:48" ht="3" customHeight="1"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</row>
    <row r="89" spans="4:48">
      <c r="D89" s="10"/>
      <c r="E89" s="99">
        <v>12</v>
      </c>
      <c r="F89" s="10" t="s">
        <v>84</v>
      </c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51" t="s">
        <v>67</v>
      </c>
      <c r="AG89" s="127">
        <v>11</v>
      </c>
      <c r="AH89" s="51" t="s">
        <v>85</v>
      </c>
      <c r="AI89" s="51" t="s">
        <v>67</v>
      </c>
      <c r="AJ89" s="127">
        <v>9</v>
      </c>
      <c r="AK89" s="51" t="s">
        <v>68</v>
      </c>
      <c r="AL89" s="127">
        <v>10</v>
      </c>
      <c r="AM89" s="51" t="s">
        <v>86</v>
      </c>
      <c r="AN89" s="10"/>
      <c r="AO89" s="10"/>
      <c r="AP89" s="168">
        <f>AP82*(AP76-AP78)</f>
        <v>0</v>
      </c>
      <c r="AQ89" s="169"/>
      <c r="AR89" s="169"/>
      <c r="AS89" s="169"/>
      <c r="AT89" s="169"/>
      <c r="AU89" s="170"/>
      <c r="AV89" s="10"/>
    </row>
    <row r="90" spans="4:48">
      <c r="D90" s="10"/>
      <c r="E90" s="10"/>
      <c r="F90" s="101" t="s">
        <v>87</v>
      </c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</row>
    <row r="91" spans="4:48" ht="3" customHeight="1"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</row>
    <row r="92" spans="4:48" ht="3" customHeight="1"/>
    <row r="93" spans="4:48">
      <c r="D93" s="7" t="s">
        <v>88</v>
      </c>
      <c r="E93" s="8" t="s">
        <v>89</v>
      </c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34"/>
      <c r="AK93" s="34"/>
      <c r="AL93" s="34"/>
      <c r="AM93" s="34"/>
      <c r="AN93" s="34"/>
      <c r="AO93" s="34"/>
      <c r="AP93" s="34"/>
      <c r="AQ93" s="34"/>
      <c r="AR93" s="34"/>
      <c r="AS93" s="34"/>
      <c r="AT93" s="34"/>
      <c r="AU93" s="34"/>
      <c r="AV93" s="34"/>
    </row>
    <row r="94" spans="4:48" ht="3" customHeight="1"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</row>
    <row r="95" spans="4:48">
      <c r="D95" s="10"/>
      <c r="E95" s="99">
        <v>13</v>
      </c>
      <c r="F95" s="10" t="s">
        <v>90</v>
      </c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24"/>
      <c r="AJ95" s="12" t="s">
        <v>39</v>
      </c>
      <c r="AK95" s="10"/>
      <c r="AL95" s="10"/>
      <c r="AM95" s="24"/>
      <c r="AN95" s="12" t="s">
        <v>40</v>
      </c>
      <c r="AO95" s="10"/>
      <c r="AP95" s="168"/>
      <c r="AQ95" s="169"/>
      <c r="AR95" s="169"/>
      <c r="AS95" s="169"/>
      <c r="AT95" s="169"/>
      <c r="AU95" s="170"/>
      <c r="AV95" s="10"/>
    </row>
    <row r="96" spans="4:48">
      <c r="D96" s="10"/>
      <c r="E96" s="10"/>
      <c r="F96" s="101" t="s">
        <v>91</v>
      </c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</row>
    <row r="97" spans="4:48" ht="3" customHeight="1"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</row>
    <row r="98" spans="4:48">
      <c r="D98" s="10"/>
      <c r="E98" s="99">
        <v>14</v>
      </c>
      <c r="F98" s="10" t="s">
        <v>92</v>
      </c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68"/>
      <c r="AQ98" s="169"/>
      <c r="AR98" s="169"/>
      <c r="AS98" s="169"/>
      <c r="AT98" s="169"/>
      <c r="AU98" s="170"/>
      <c r="AV98" s="10"/>
    </row>
    <row r="99" spans="4:48" ht="3" customHeight="1"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</row>
    <row r="100" spans="4:48">
      <c r="D100" s="10"/>
      <c r="E100" s="99">
        <v>15</v>
      </c>
      <c r="F100" s="10" t="s">
        <v>93</v>
      </c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68"/>
      <c r="AQ100" s="169"/>
      <c r="AR100" s="169"/>
      <c r="AS100" s="169"/>
      <c r="AT100" s="169"/>
      <c r="AU100" s="170"/>
      <c r="AV100" s="10"/>
    </row>
    <row r="101" spans="4:48" ht="3" customHeight="1"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</row>
    <row r="102" spans="4:48">
      <c r="D102" s="10"/>
      <c r="E102" s="99">
        <v>16</v>
      </c>
      <c r="F102" s="10" t="s">
        <v>94</v>
      </c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24"/>
      <c r="AJ102" s="12" t="s">
        <v>39</v>
      </c>
      <c r="AK102" s="10"/>
      <c r="AL102" s="10"/>
      <c r="AM102" s="24"/>
      <c r="AN102" s="12" t="s">
        <v>40</v>
      </c>
      <c r="AO102" s="10"/>
      <c r="AP102" s="168"/>
      <c r="AQ102" s="169"/>
      <c r="AR102" s="169"/>
      <c r="AS102" s="169"/>
      <c r="AT102" s="169"/>
      <c r="AU102" s="170"/>
      <c r="AV102" s="10"/>
    </row>
    <row r="103" spans="4:48">
      <c r="D103" s="10"/>
      <c r="E103" s="10"/>
      <c r="F103" s="10" t="s">
        <v>95</v>
      </c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</row>
    <row r="104" spans="4:48" ht="3" customHeight="1"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</row>
    <row r="105" spans="4:48" ht="3" customHeight="1"/>
    <row r="106" spans="4:48">
      <c r="D106" s="7" t="s">
        <v>96</v>
      </c>
      <c r="E106" s="8" t="s">
        <v>97</v>
      </c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/>
      <c r="AN106" s="34"/>
      <c r="AO106" s="34"/>
      <c r="AP106" s="34"/>
      <c r="AQ106" s="34"/>
      <c r="AR106" s="34"/>
      <c r="AS106" s="34"/>
      <c r="AT106" s="34"/>
      <c r="AU106" s="34"/>
      <c r="AV106" s="34"/>
    </row>
    <row r="107" spans="4:48" ht="3" customHeight="1"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</row>
    <row r="108" spans="4:48">
      <c r="D108" s="10"/>
      <c r="E108" s="99">
        <v>17</v>
      </c>
      <c r="F108" s="10"/>
      <c r="G108" s="99" t="s">
        <v>49</v>
      </c>
      <c r="H108" s="10" t="s">
        <v>98</v>
      </c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51" t="s">
        <v>67</v>
      </c>
      <c r="AD108" s="127">
        <v>12</v>
      </c>
      <c r="AE108" s="51" t="s">
        <v>68</v>
      </c>
      <c r="AF108" s="127">
        <v>13</v>
      </c>
      <c r="AG108" s="51" t="s">
        <v>68</v>
      </c>
      <c r="AH108" s="127">
        <v>14</v>
      </c>
      <c r="AI108" s="51" t="s">
        <v>68</v>
      </c>
      <c r="AJ108" s="127">
        <v>15</v>
      </c>
      <c r="AK108" s="51" t="s">
        <v>68</v>
      </c>
      <c r="AL108" s="127">
        <v>16</v>
      </c>
      <c r="AM108" s="51" t="s">
        <v>69</v>
      </c>
      <c r="AN108" s="10"/>
      <c r="AO108" s="10"/>
      <c r="AP108" s="168">
        <f>AP89-AP95-AP98-AP100-AP102</f>
        <v>0</v>
      </c>
      <c r="AQ108" s="169"/>
      <c r="AR108" s="169"/>
      <c r="AS108" s="169"/>
      <c r="AT108" s="169"/>
      <c r="AU108" s="170"/>
      <c r="AV108" s="10"/>
    </row>
    <row r="109" spans="4:48" ht="3" customHeight="1"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</row>
    <row r="110" spans="4:48">
      <c r="D110" s="10"/>
      <c r="E110" s="10"/>
      <c r="F110" s="10"/>
      <c r="G110" s="99" t="s">
        <v>52</v>
      </c>
      <c r="H110" s="10" t="s">
        <v>99</v>
      </c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24"/>
      <c r="AJ110" s="12" t="s">
        <v>39</v>
      </c>
      <c r="AK110" s="10"/>
      <c r="AL110" s="10"/>
      <c r="AM110" s="24"/>
      <c r="AN110" s="12" t="s">
        <v>40</v>
      </c>
      <c r="AO110" s="10"/>
      <c r="AP110" s="168"/>
      <c r="AQ110" s="169"/>
      <c r="AR110" s="169"/>
      <c r="AS110" s="169"/>
      <c r="AT110" s="169"/>
      <c r="AU110" s="170"/>
      <c r="AV110" s="10"/>
    </row>
    <row r="111" spans="4:48">
      <c r="D111" s="10"/>
      <c r="E111" s="10"/>
      <c r="F111" s="10"/>
      <c r="G111" s="10"/>
      <c r="H111" s="10" t="s">
        <v>100</v>
      </c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</row>
    <row r="112" spans="4:48" ht="3" customHeight="1"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</row>
    <row r="113" spans="4:48">
      <c r="D113" s="10"/>
      <c r="E113" s="10"/>
      <c r="F113" s="10"/>
      <c r="G113" s="99" t="s">
        <v>101</v>
      </c>
      <c r="H113" s="10" t="s">
        <v>102</v>
      </c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51" t="s">
        <v>67</v>
      </c>
      <c r="AG113" s="127" t="s">
        <v>103</v>
      </c>
      <c r="AH113" s="51" t="s">
        <v>68</v>
      </c>
      <c r="AI113" s="127" t="s">
        <v>104</v>
      </c>
      <c r="AJ113" s="51" t="s">
        <v>69</v>
      </c>
      <c r="AK113" s="10"/>
      <c r="AL113" s="10"/>
      <c r="AM113" s="10"/>
      <c r="AN113" s="10"/>
      <c r="AO113" s="10"/>
      <c r="AP113" s="168">
        <f>AP108-AP110</f>
        <v>0</v>
      </c>
      <c r="AQ113" s="169"/>
      <c r="AR113" s="169"/>
      <c r="AS113" s="169"/>
      <c r="AT113" s="169"/>
      <c r="AU113" s="170"/>
      <c r="AV113" s="10"/>
    </row>
    <row r="114" spans="4:48" ht="3" customHeight="1"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</row>
    <row r="115" spans="4:48">
      <c r="D115" s="10"/>
      <c r="E115" s="99">
        <v>18</v>
      </c>
      <c r="F115" s="10" t="s">
        <v>105</v>
      </c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</row>
    <row r="116" spans="4:48">
      <c r="D116" s="10"/>
      <c r="E116" s="10"/>
      <c r="F116" s="10"/>
      <c r="G116" s="127" t="s">
        <v>49</v>
      </c>
      <c r="H116" s="10" t="s">
        <v>106</v>
      </c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24"/>
      <c r="AH116" s="10" t="s">
        <v>107</v>
      </c>
      <c r="AI116" s="10"/>
      <c r="AJ116" s="10"/>
      <c r="AK116" s="10"/>
      <c r="AL116" s="10"/>
      <c r="AM116" s="10"/>
      <c r="AN116" s="10"/>
      <c r="AO116" s="10"/>
      <c r="AP116" s="168"/>
      <c r="AQ116" s="169"/>
      <c r="AR116" s="169"/>
      <c r="AS116" s="169"/>
      <c r="AT116" s="169"/>
      <c r="AU116" s="170"/>
      <c r="AV116" s="10"/>
    </row>
    <row r="117" spans="4:48" ht="3" customHeight="1"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</row>
    <row r="118" spans="4:48">
      <c r="D118" s="10"/>
      <c r="E118" s="10"/>
      <c r="F118" s="10"/>
      <c r="G118" s="127" t="s">
        <v>52</v>
      </c>
      <c r="H118" s="10" t="s">
        <v>108</v>
      </c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51" t="s">
        <v>67</v>
      </c>
      <c r="AG118" s="127" t="s">
        <v>103</v>
      </c>
      <c r="AH118" s="51" t="s">
        <v>68</v>
      </c>
      <c r="AI118" s="127" t="s">
        <v>109</v>
      </c>
      <c r="AJ118" s="51" t="s">
        <v>69</v>
      </c>
      <c r="AK118" s="10"/>
      <c r="AL118" s="10"/>
      <c r="AM118" s="10"/>
      <c r="AN118" s="10"/>
      <c r="AO118" s="10"/>
      <c r="AP118" s="168">
        <f>AP108-AP116</f>
        <v>0</v>
      </c>
      <c r="AQ118" s="169"/>
      <c r="AR118" s="169"/>
      <c r="AS118" s="169"/>
      <c r="AT118" s="169"/>
      <c r="AU118" s="170"/>
      <c r="AV118" s="10"/>
    </row>
    <row r="119" spans="4:48"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</row>
  </sheetData>
  <mergeCells count="48">
    <mergeCell ref="AP4:AU4"/>
    <mergeCell ref="Q9:W9"/>
    <mergeCell ref="AC9:AG9"/>
    <mergeCell ref="AF23:AU23"/>
    <mergeCell ref="AF25:AU25"/>
    <mergeCell ref="S10:S12"/>
    <mergeCell ref="T10:T12"/>
    <mergeCell ref="U10:U12"/>
    <mergeCell ref="AP5:AU6"/>
    <mergeCell ref="Q10:R12"/>
    <mergeCell ref="V10:W12"/>
    <mergeCell ref="AF27:AU27"/>
    <mergeCell ref="AF33:AU33"/>
    <mergeCell ref="AQ35:AU35"/>
    <mergeCell ref="AF39:AU39"/>
    <mergeCell ref="AP50:AU50"/>
    <mergeCell ref="AP53:AU53"/>
    <mergeCell ref="AP59:AU59"/>
    <mergeCell ref="AP62:AU62"/>
    <mergeCell ref="AP66:AU66"/>
    <mergeCell ref="AP71:AU71"/>
    <mergeCell ref="AP110:AU110"/>
    <mergeCell ref="AP73:AU73"/>
    <mergeCell ref="AP76:AU76"/>
    <mergeCell ref="AP78:AU78"/>
    <mergeCell ref="AP89:AU89"/>
    <mergeCell ref="AP95:AU95"/>
    <mergeCell ref="AP113:AU113"/>
    <mergeCell ref="AP116:AU116"/>
    <mergeCell ref="AP118:AU118"/>
    <mergeCell ref="Q14:Q15"/>
    <mergeCell ref="R14:R15"/>
    <mergeCell ref="V14:V15"/>
    <mergeCell ref="W14:W15"/>
    <mergeCell ref="H44:AG45"/>
    <mergeCell ref="H47:AG48"/>
    <mergeCell ref="F62:AG63"/>
    <mergeCell ref="F66:AG68"/>
    <mergeCell ref="F78:AH79"/>
    <mergeCell ref="AP98:AU98"/>
    <mergeCell ref="AP100:AU100"/>
    <mergeCell ref="AP102:AU102"/>
    <mergeCell ref="AP108:AU108"/>
    <mergeCell ref="E14:F15"/>
    <mergeCell ref="G14:H15"/>
    <mergeCell ref="I14:J15"/>
    <mergeCell ref="K14:L15"/>
    <mergeCell ref="S14:U15"/>
  </mergeCells>
  <dataValidations count="1">
    <dataValidation type="list" allowBlank="1" showInputMessage="1" showErrorMessage="1" sqref="AF33:AU33" xr:uid="{00000000-0002-0000-0000-000000000000}">
      <formula1>$BA$4:$BA$7</formula1>
    </dataValidation>
  </dataValidations>
  <hyperlinks>
    <hyperlink ref="H46" location="L5!A1" display="Jika &quot;Ya&quot;, isilah Lampiran 5" xr:uid="{00000000-0004-0000-0000-000001000000}"/>
    <hyperlink ref="F51" location="L4!A1" display="Jika &quot;Ya&quot;, Isilah Lampiran 4 bagian A." xr:uid="{00000000-0004-0000-0000-000002000000}"/>
    <hyperlink ref="F54" location="L4!A1" display="Jika &quot;Ya&quot;, Isilah Lampiran 4 bagian B." xr:uid="{00000000-0004-0000-0000-000003000000}"/>
    <hyperlink ref="F74" location="L7!A1" display="Jika &quot;Ya&quot;, isilah Lampiran 7" xr:uid="{00000000-0004-0000-0000-000004000000}"/>
    <hyperlink ref="F87" location="L8!A1" display="Jika memilih c, isilah Lampiran 8" xr:uid="{00000000-0004-0000-0000-000005000000}"/>
    <hyperlink ref="F90" location="L8!A1" display="Jika pada angka 11 memilih huruf c, PPh Terutang diisi berdasarkan Lampiran 8" xr:uid="{00000000-0004-0000-0000-000006000000}"/>
    <hyperlink ref="F96" location="L3!A1" display="Jika &quot;Ya&quot;, isilah Lampiran 3" xr:uid="{00000000-0004-0000-0000-000007000000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/>
  </sheetPr>
  <dimension ref="D3:AV135"/>
  <sheetViews>
    <sheetView zoomScale="60" zoomScaleNormal="60" workbookViewId="0"/>
  </sheetViews>
  <sheetFormatPr defaultColWidth="9" defaultRowHeight="11.5"/>
  <cols>
    <col min="1" max="2" width="9" style="1"/>
    <col min="3" max="66" width="3.453125" style="1" customWidth="1"/>
    <col min="67" max="16384" width="9" style="1"/>
  </cols>
  <sheetData>
    <row r="3" spans="4:48" s="85" customFormat="1" ht="10">
      <c r="D3" s="86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  <c r="S3" s="87"/>
      <c r="T3" s="87"/>
      <c r="U3" s="87"/>
      <c r="V3" s="87"/>
      <c r="W3" s="87"/>
      <c r="X3" s="87"/>
      <c r="Y3" s="87"/>
      <c r="Z3" s="87"/>
      <c r="AA3" s="87"/>
      <c r="AB3" s="87"/>
      <c r="AC3" s="87"/>
      <c r="AD3" s="87"/>
      <c r="AE3" s="87"/>
      <c r="AF3" s="87"/>
      <c r="AG3" s="87"/>
      <c r="AH3" s="87"/>
      <c r="AI3" s="87"/>
      <c r="AJ3" s="87"/>
      <c r="AK3" s="87"/>
      <c r="AL3" s="87"/>
      <c r="AM3" s="87"/>
      <c r="AN3" s="87"/>
      <c r="AO3" s="87"/>
      <c r="AP3" s="87"/>
      <c r="AQ3" s="87"/>
      <c r="AR3" s="87"/>
      <c r="AS3" s="87"/>
      <c r="AT3" s="87"/>
      <c r="AU3" s="87"/>
      <c r="AV3" s="107"/>
    </row>
    <row r="4" spans="4:48" s="85" customFormat="1" ht="15.5">
      <c r="D4" s="88"/>
      <c r="I4" s="103" t="s">
        <v>0</v>
      </c>
      <c r="Y4" s="104" t="s">
        <v>1</v>
      </c>
      <c r="AP4" s="194" t="s">
        <v>2</v>
      </c>
      <c r="AQ4" s="194"/>
      <c r="AR4" s="194"/>
      <c r="AS4" s="194"/>
      <c r="AT4" s="194"/>
      <c r="AU4" s="194"/>
      <c r="AV4" s="108"/>
    </row>
    <row r="5" spans="4:48" s="85" customFormat="1" ht="13">
      <c r="D5" s="88"/>
      <c r="I5" s="103" t="s">
        <v>3</v>
      </c>
      <c r="Y5" s="105" t="s">
        <v>4</v>
      </c>
      <c r="AP5" s="211" t="s">
        <v>110</v>
      </c>
      <c r="AQ5" s="211"/>
      <c r="AR5" s="211"/>
      <c r="AS5" s="211"/>
      <c r="AT5" s="211"/>
      <c r="AU5" s="211"/>
      <c r="AV5" s="108"/>
    </row>
    <row r="6" spans="4:48" s="85" customFormat="1" ht="15.5">
      <c r="D6" s="88"/>
      <c r="I6" s="104" t="s">
        <v>6</v>
      </c>
      <c r="Y6" s="105" t="s">
        <v>7</v>
      </c>
      <c r="AP6" s="211"/>
      <c r="AQ6" s="211"/>
      <c r="AR6" s="211"/>
      <c r="AS6" s="211"/>
      <c r="AT6" s="211"/>
      <c r="AU6" s="211"/>
      <c r="AV6" s="108"/>
    </row>
    <row r="7" spans="4:48" s="85" customFormat="1" ht="10.5">
      <c r="D7" s="89"/>
      <c r="E7" s="90"/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106" t="s">
        <v>8</v>
      </c>
      <c r="Z7" s="90"/>
      <c r="AA7" s="90"/>
      <c r="AB7" s="90"/>
      <c r="AC7" s="90"/>
      <c r="AD7" s="90"/>
      <c r="AE7" s="90"/>
      <c r="AF7" s="90"/>
      <c r="AG7" s="90"/>
      <c r="AH7" s="90"/>
      <c r="AI7" s="90"/>
      <c r="AJ7" s="90"/>
      <c r="AK7" s="90"/>
      <c r="AL7" s="90"/>
      <c r="AM7" s="90"/>
      <c r="AN7" s="90"/>
      <c r="AO7" s="90"/>
      <c r="AP7" s="90"/>
      <c r="AQ7" s="90"/>
      <c r="AR7" s="90"/>
      <c r="AS7" s="90"/>
      <c r="AT7" s="90"/>
      <c r="AU7" s="90"/>
      <c r="AV7" s="109"/>
    </row>
    <row r="8" spans="4:48" s="85" customFormat="1" ht="10">
      <c r="D8" s="91"/>
      <c r="E8" s="92"/>
      <c r="F8" s="92"/>
      <c r="G8" s="92"/>
      <c r="H8" s="92"/>
      <c r="I8" s="92"/>
      <c r="J8" s="92"/>
      <c r="K8" s="92"/>
      <c r="L8" s="92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  <c r="AA8" s="92"/>
      <c r="AB8" s="92"/>
      <c r="AC8" s="92"/>
      <c r="AD8" s="92"/>
      <c r="AE8" s="92"/>
      <c r="AF8" s="92"/>
      <c r="AG8" s="92"/>
      <c r="AH8" s="92"/>
      <c r="AI8" s="92"/>
      <c r="AJ8" s="92"/>
      <c r="AK8" s="92"/>
      <c r="AL8" s="92"/>
      <c r="AM8" s="92"/>
      <c r="AN8" s="92"/>
      <c r="AO8" s="92"/>
      <c r="AP8" s="92"/>
      <c r="AQ8" s="92"/>
      <c r="AR8" s="92"/>
      <c r="AS8" s="92"/>
      <c r="AT8" s="92"/>
      <c r="AU8" s="92"/>
      <c r="AV8" s="110"/>
    </row>
    <row r="9" spans="4:48" s="85" customFormat="1">
      <c r="D9" s="91"/>
      <c r="E9" s="93" t="s">
        <v>10</v>
      </c>
      <c r="F9" s="92"/>
      <c r="G9" s="92"/>
      <c r="H9" s="92"/>
      <c r="I9" s="92"/>
      <c r="J9" s="92"/>
      <c r="K9" s="92"/>
      <c r="L9" s="92"/>
      <c r="M9" s="92"/>
      <c r="N9" s="91"/>
      <c r="O9" s="92"/>
      <c r="P9" s="92"/>
      <c r="Q9" s="208" t="s">
        <v>11</v>
      </c>
      <c r="R9" s="208"/>
      <c r="S9" s="208"/>
      <c r="T9" s="208"/>
      <c r="U9" s="208"/>
      <c r="V9" s="208"/>
      <c r="W9" s="208"/>
      <c r="X9" s="92"/>
      <c r="Y9" s="92"/>
      <c r="Z9" s="92"/>
      <c r="AA9" s="92"/>
      <c r="AB9" s="91"/>
      <c r="AC9" s="208" t="s">
        <v>12</v>
      </c>
      <c r="AD9" s="208"/>
      <c r="AE9" s="208"/>
      <c r="AF9" s="208"/>
      <c r="AG9" s="208"/>
      <c r="AH9" s="92"/>
      <c r="AI9" s="92"/>
      <c r="AJ9" s="91"/>
      <c r="AK9" s="93" t="s">
        <v>13</v>
      </c>
      <c r="AL9" s="92"/>
      <c r="AM9" s="92"/>
      <c r="AN9" s="92"/>
      <c r="AO9" s="92"/>
      <c r="AP9" s="92"/>
      <c r="AQ9" s="92"/>
      <c r="AR9" s="92"/>
      <c r="AS9" s="92"/>
      <c r="AT9" s="92"/>
      <c r="AU9" s="92"/>
      <c r="AV9" s="110"/>
    </row>
    <row r="10" spans="4:48" s="85" customFormat="1" ht="10">
      <c r="D10" s="91"/>
      <c r="E10" s="94"/>
      <c r="F10" s="92"/>
      <c r="G10" s="92" t="s">
        <v>15</v>
      </c>
      <c r="H10" s="92"/>
      <c r="I10" s="92"/>
      <c r="J10" s="92"/>
      <c r="K10" s="92"/>
      <c r="L10" s="92"/>
      <c r="M10" s="92"/>
      <c r="N10" s="91"/>
      <c r="O10" s="92"/>
      <c r="P10" s="92"/>
      <c r="Q10" s="212" t="s">
        <v>16</v>
      </c>
      <c r="R10" s="212"/>
      <c r="S10" s="210"/>
      <c r="T10" s="210"/>
      <c r="U10" s="210"/>
      <c r="V10" s="212" t="s">
        <v>17</v>
      </c>
      <c r="W10" s="212"/>
      <c r="X10" s="92"/>
      <c r="Y10" s="92"/>
      <c r="Z10" s="92"/>
      <c r="AA10" s="92"/>
      <c r="AB10" s="91"/>
      <c r="AC10" s="92"/>
      <c r="AD10" s="92"/>
      <c r="AE10" s="92"/>
      <c r="AF10" s="92"/>
      <c r="AG10" s="92"/>
      <c r="AH10" s="92"/>
      <c r="AI10" s="92"/>
      <c r="AJ10" s="91"/>
      <c r="AK10" s="92"/>
      <c r="AL10" s="92"/>
      <c r="AM10" s="92"/>
      <c r="AN10" s="92"/>
      <c r="AO10" s="92"/>
      <c r="AP10" s="92"/>
      <c r="AQ10" s="92"/>
      <c r="AR10" s="92"/>
      <c r="AS10" s="92"/>
      <c r="AT10" s="92"/>
      <c r="AU10" s="92"/>
      <c r="AV10" s="110"/>
    </row>
    <row r="11" spans="4:48" s="85" customFormat="1" ht="3" customHeight="1">
      <c r="D11" s="91"/>
      <c r="E11" s="92"/>
      <c r="F11" s="92"/>
      <c r="G11" s="92"/>
      <c r="H11" s="92"/>
      <c r="I11" s="92"/>
      <c r="J11" s="92"/>
      <c r="K11" s="92"/>
      <c r="L11" s="92"/>
      <c r="M11" s="92"/>
      <c r="N11" s="91"/>
      <c r="O11" s="92"/>
      <c r="P11" s="92"/>
      <c r="Q11" s="212"/>
      <c r="R11" s="212"/>
      <c r="S11" s="210"/>
      <c r="T11" s="210"/>
      <c r="U11" s="210"/>
      <c r="V11" s="212"/>
      <c r="W11" s="212"/>
      <c r="X11" s="92"/>
      <c r="Y11" s="92"/>
      <c r="Z11" s="92"/>
      <c r="AA11" s="92"/>
      <c r="AB11" s="91"/>
      <c r="AC11" s="92"/>
      <c r="AD11" s="92"/>
      <c r="AE11" s="92"/>
      <c r="AF11" s="92"/>
      <c r="AG11" s="92"/>
      <c r="AH11" s="92"/>
      <c r="AI11" s="92"/>
      <c r="AJ11" s="91"/>
      <c r="AK11" s="92"/>
      <c r="AL11" s="92"/>
      <c r="AM11" s="92"/>
      <c r="AN11" s="92"/>
      <c r="AO11" s="92"/>
      <c r="AP11" s="92"/>
      <c r="AQ11" s="92"/>
      <c r="AR11" s="92"/>
      <c r="AS11" s="92"/>
      <c r="AT11" s="92"/>
      <c r="AU11" s="92"/>
      <c r="AV11" s="110"/>
    </row>
    <row r="12" spans="4:48" s="85" customFormat="1" ht="10">
      <c r="D12" s="91"/>
      <c r="E12" s="24"/>
      <c r="F12" s="92"/>
      <c r="G12" s="92" t="s">
        <v>19</v>
      </c>
      <c r="H12" s="92"/>
      <c r="I12" s="92"/>
      <c r="J12" s="92"/>
      <c r="K12" s="92"/>
      <c r="L12" s="92"/>
      <c r="M12" s="92"/>
      <c r="N12" s="91"/>
      <c r="O12" s="92"/>
      <c r="P12" s="92"/>
      <c r="Q12" s="212"/>
      <c r="R12" s="212"/>
      <c r="S12" s="210"/>
      <c r="T12" s="210"/>
      <c r="U12" s="210"/>
      <c r="V12" s="212"/>
      <c r="W12" s="212"/>
      <c r="X12" s="92"/>
      <c r="Y12" s="92"/>
      <c r="Z12" s="92"/>
      <c r="AA12" s="92"/>
      <c r="AB12" s="91"/>
      <c r="AC12" s="94"/>
      <c r="AD12" s="92"/>
      <c r="AE12" s="92" t="s">
        <v>20</v>
      </c>
      <c r="AF12" s="92"/>
      <c r="AG12" s="92"/>
      <c r="AH12" s="92"/>
      <c r="AI12" s="92"/>
      <c r="AJ12" s="91"/>
      <c r="AK12" s="24"/>
      <c r="AL12" s="92"/>
      <c r="AM12" s="92" t="s">
        <v>21</v>
      </c>
      <c r="AN12" s="92"/>
      <c r="AO12" s="92"/>
      <c r="AP12" s="92"/>
      <c r="AQ12" s="92"/>
      <c r="AR12" s="92"/>
      <c r="AS12" s="92"/>
      <c r="AT12" s="92"/>
      <c r="AU12" s="92"/>
      <c r="AV12" s="110"/>
    </row>
    <row r="13" spans="4:48" s="85" customFormat="1" ht="3" customHeight="1">
      <c r="D13" s="91"/>
      <c r="E13" s="92"/>
      <c r="F13" s="92"/>
      <c r="G13" s="92"/>
      <c r="H13" s="92"/>
      <c r="I13" s="92"/>
      <c r="J13" s="92"/>
      <c r="K13" s="92"/>
      <c r="L13" s="92"/>
      <c r="M13" s="92"/>
      <c r="N13" s="91"/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  <c r="AA13" s="92"/>
      <c r="AB13" s="91"/>
      <c r="AC13" s="92"/>
      <c r="AD13" s="92"/>
      <c r="AE13" s="92"/>
      <c r="AF13" s="92"/>
      <c r="AG13" s="92"/>
      <c r="AH13" s="92"/>
      <c r="AI13" s="92"/>
      <c r="AJ13" s="91"/>
      <c r="AK13" s="92"/>
      <c r="AL13" s="92"/>
      <c r="AM13" s="92"/>
      <c r="AN13" s="92"/>
      <c r="AO13" s="92"/>
      <c r="AP13" s="92"/>
      <c r="AQ13" s="92"/>
      <c r="AR13" s="92"/>
      <c r="AS13" s="92"/>
      <c r="AT13" s="92"/>
      <c r="AU13" s="92"/>
      <c r="AV13" s="110"/>
    </row>
    <row r="14" spans="4:48" s="85" customFormat="1" ht="10">
      <c r="D14" s="91"/>
      <c r="E14" s="196">
        <f>INDUK1!E14</f>
        <v>2</v>
      </c>
      <c r="F14" s="197"/>
      <c r="G14" s="196">
        <f>INDUK1!G14</f>
        <v>0</v>
      </c>
      <c r="H14" s="197"/>
      <c r="I14" s="196">
        <f>INDUK1!I14</f>
        <v>2</v>
      </c>
      <c r="J14" s="197"/>
      <c r="K14" s="196">
        <f>INDUK1!K14</f>
        <v>5</v>
      </c>
      <c r="L14" s="197"/>
      <c r="M14" s="92"/>
      <c r="N14" s="91"/>
      <c r="O14" s="92"/>
      <c r="P14" s="92"/>
      <c r="Q14" s="201">
        <v>0</v>
      </c>
      <c r="R14" s="201">
        <v>1</v>
      </c>
      <c r="S14" s="200" t="s">
        <v>22</v>
      </c>
      <c r="T14" s="200"/>
      <c r="U14" s="200"/>
      <c r="V14" s="201">
        <v>1</v>
      </c>
      <c r="W14" s="201">
        <v>2</v>
      </c>
      <c r="X14" s="92"/>
      <c r="Y14" s="92"/>
      <c r="Z14" s="92"/>
      <c r="AA14" s="92"/>
      <c r="AB14" s="91"/>
      <c r="AC14" s="24"/>
      <c r="AD14" s="92"/>
      <c r="AE14" s="92" t="s">
        <v>23</v>
      </c>
      <c r="AF14" s="92"/>
      <c r="AG14" s="92"/>
      <c r="AH14" s="92"/>
      <c r="AI14" s="92"/>
      <c r="AJ14" s="91"/>
      <c r="AK14" s="24"/>
      <c r="AL14" s="92"/>
      <c r="AM14" s="92" t="s">
        <v>24</v>
      </c>
      <c r="AN14" s="92"/>
      <c r="AO14" s="92"/>
      <c r="AP14" s="92"/>
      <c r="AQ14" s="92"/>
      <c r="AR14" s="92"/>
      <c r="AS14" s="92"/>
      <c r="AT14" s="92"/>
      <c r="AU14" s="92"/>
      <c r="AV14" s="110"/>
    </row>
    <row r="15" spans="4:48" s="85" customFormat="1" ht="10">
      <c r="D15" s="91"/>
      <c r="E15" s="198"/>
      <c r="F15" s="199"/>
      <c r="G15" s="198"/>
      <c r="H15" s="199"/>
      <c r="I15" s="198"/>
      <c r="J15" s="199"/>
      <c r="K15" s="198"/>
      <c r="L15" s="199"/>
      <c r="M15" s="92"/>
      <c r="N15" s="91"/>
      <c r="O15" s="92"/>
      <c r="P15" s="92"/>
      <c r="Q15" s="202"/>
      <c r="R15" s="202"/>
      <c r="S15" s="200"/>
      <c r="T15" s="200"/>
      <c r="U15" s="200"/>
      <c r="V15" s="202"/>
      <c r="W15" s="202"/>
      <c r="X15" s="92"/>
      <c r="Y15" s="92"/>
      <c r="Z15" s="92"/>
      <c r="AA15" s="92"/>
      <c r="AB15" s="91"/>
      <c r="AC15" s="92"/>
      <c r="AD15" s="92"/>
      <c r="AE15" s="92"/>
      <c r="AF15" s="92"/>
      <c r="AG15" s="92"/>
      <c r="AH15" s="92"/>
      <c r="AI15" s="92"/>
      <c r="AJ15" s="91"/>
      <c r="AK15" s="92"/>
      <c r="AL15" s="92"/>
      <c r="AM15" s="92"/>
      <c r="AN15" s="92"/>
      <c r="AO15" s="92"/>
      <c r="AP15" s="92"/>
      <c r="AQ15" s="92"/>
      <c r="AR15" s="92"/>
      <c r="AS15" s="92"/>
      <c r="AT15" s="92"/>
      <c r="AU15" s="92"/>
      <c r="AV15" s="110"/>
    </row>
    <row r="16" spans="4:48" s="85" customFormat="1" ht="4" customHeight="1">
      <c r="D16" s="95"/>
      <c r="E16" s="96"/>
      <c r="F16" s="96"/>
      <c r="G16" s="96"/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  <c r="AA16" s="96"/>
      <c r="AB16" s="96"/>
      <c r="AC16" s="96"/>
      <c r="AD16" s="96"/>
      <c r="AE16" s="96"/>
      <c r="AF16" s="96"/>
      <c r="AG16" s="96"/>
      <c r="AH16" s="96"/>
      <c r="AI16" s="96"/>
      <c r="AJ16" s="96"/>
      <c r="AK16" s="96"/>
      <c r="AL16" s="96"/>
      <c r="AM16" s="96"/>
      <c r="AN16" s="96"/>
      <c r="AO16" s="96"/>
      <c r="AP16" s="96"/>
      <c r="AQ16" s="96"/>
      <c r="AR16" s="96"/>
      <c r="AS16" s="96"/>
      <c r="AT16" s="96"/>
      <c r="AU16" s="96"/>
      <c r="AV16" s="111"/>
    </row>
    <row r="17" spans="4:48" s="85" customFormat="1" ht="3" customHeight="1">
      <c r="D17" s="97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98"/>
      <c r="P17" s="98"/>
      <c r="Q17" s="98"/>
      <c r="R17" s="98"/>
      <c r="S17" s="98"/>
      <c r="T17" s="98"/>
      <c r="U17" s="98"/>
      <c r="V17" s="98"/>
      <c r="W17" s="98"/>
      <c r="X17" s="98"/>
      <c r="Y17" s="98"/>
      <c r="Z17" s="98"/>
      <c r="AA17" s="98"/>
      <c r="AB17" s="98"/>
      <c r="AC17" s="98"/>
      <c r="AD17" s="98"/>
      <c r="AE17" s="98"/>
      <c r="AF17" s="98"/>
      <c r="AG17" s="98"/>
      <c r="AH17" s="98"/>
      <c r="AI17" s="98"/>
      <c r="AJ17" s="98"/>
      <c r="AK17" s="98"/>
      <c r="AL17" s="98"/>
      <c r="AM17" s="98"/>
      <c r="AN17" s="98"/>
      <c r="AO17" s="98"/>
      <c r="AP17" s="98"/>
      <c r="AQ17" s="98"/>
      <c r="AR17" s="98"/>
      <c r="AS17" s="98"/>
      <c r="AT17" s="98"/>
      <c r="AU17" s="98"/>
      <c r="AV17" s="112"/>
    </row>
    <row r="18" spans="4:48" ht="6" customHeight="1"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</row>
    <row r="19" spans="4:48">
      <c r="D19" s="10"/>
      <c r="E19" s="99">
        <v>19</v>
      </c>
      <c r="F19" s="10"/>
      <c r="G19" s="99" t="s">
        <v>49</v>
      </c>
      <c r="H19" s="100" t="s">
        <v>111</v>
      </c>
      <c r="I19" s="100"/>
      <c r="J19" s="100"/>
      <c r="K19" s="100"/>
      <c r="L19" s="100"/>
      <c r="M19" s="100"/>
      <c r="N19" s="100"/>
      <c r="O19" s="100"/>
      <c r="P19" s="100"/>
      <c r="Q19" s="100"/>
      <c r="R19" s="100"/>
      <c r="S19" s="100"/>
      <c r="T19" s="100"/>
      <c r="U19" s="100"/>
      <c r="V19" s="100"/>
      <c r="W19" s="100"/>
      <c r="X19" s="100"/>
      <c r="Y19" s="100"/>
      <c r="Z19" s="100"/>
      <c r="AA19" s="100"/>
      <c r="AB19" s="100"/>
      <c r="AC19" s="100"/>
      <c r="AD19" s="100"/>
      <c r="AE19" s="100"/>
      <c r="AF19" s="10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</row>
    <row r="20" spans="4:48" ht="3" customHeight="1"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</row>
    <row r="21" spans="4:48">
      <c r="D21" s="10"/>
      <c r="E21" s="10"/>
      <c r="F21" s="10"/>
      <c r="G21" s="10"/>
      <c r="H21" s="24"/>
      <c r="I21" s="10" t="s">
        <v>112</v>
      </c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</row>
    <row r="22" spans="4:48" ht="3" customHeight="1"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</row>
    <row r="23" spans="4:48">
      <c r="D23" s="10"/>
      <c r="E23" s="10"/>
      <c r="F23" s="10"/>
      <c r="G23" s="10"/>
      <c r="H23" s="24"/>
      <c r="I23" s="10" t="s">
        <v>113</v>
      </c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</row>
    <row r="24" spans="4:48" ht="3" customHeight="1"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</row>
    <row r="25" spans="4:48">
      <c r="D25" s="10"/>
      <c r="E25" s="10"/>
      <c r="F25" s="10"/>
      <c r="G25" s="99" t="s">
        <v>52</v>
      </c>
      <c r="H25" s="10" t="s">
        <v>114</v>
      </c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</row>
    <row r="26" spans="4:48">
      <c r="D26" s="10"/>
      <c r="E26" s="10"/>
      <c r="F26" s="10"/>
      <c r="G26" s="10"/>
      <c r="H26" s="10" t="s">
        <v>115</v>
      </c>
      <c r="I26" s="10"/>
      <c r="J26" s="10"/>
      <c r="K26" s="10"/>
      <c r="L26" s="10"/>
      <c r="M26" s="10"/>
      <c r="N26" s="10"/>
      <c r="O26" s="10"/>
      <c r="P26" s="10"/>
      <c r="Q26" s="168"/>
      <c r="R26" s="169"/>
      <c r="S26" s="169"/>
      <c r="T26" s="169"/>
      <c r="U26" s="169"/>
      <c r="V26" s="169"/>
      <c r="W26" s="170"/>
      <c r="X26" s="10"/>
      <c r="Y26" s="10"/>
      <c r="Z26" s="10"/>
      <c r="AA26" s="10" t="s">
        <v>116</v>
      </c>
      <c r="AB26" s="10"/>
      <c r="AC26" s="10"/>
      <c r="AD26" s="10"/>
      <c r="AE26" s="10"/>
      <c r="AF26" s="10"/>
      <c r="AG26" s="168"/>
      <c r="AH26" s="169"/>
      <c r="AI26" s="169"/>
      <c r="AJ26" s="169"/>
      <c r="AK26" s="169"/>
      <c r="AL26" s="169"/>
      <c r="AM26" s="170"/>
      <c r="AN26" s="10"/>
      <c r="AO26" s="10"/>
      <c r="AP26" s="10"/>
      <c r="AQ26" s="10"/>
      <c r="AR26" s="10"/>
      <c r="AS26" s="10"/>
      <c r="AT26" s="10"/>
      <c r="AU26" s="10"/>
      <c r="AV26" s="10"/>
    </row>
    <row r="27" spans="4:48" ht="3" customHeight="1"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</row>
    <row r="28" spans="4:48">
      <c r="D28" s="10"/>
      <c r="E28" s="10"/>
      <c r="F28" s="10"/>
      <c r="G28" s="10"/>
      <c r="H28" s="10" t="s">
        <v>117</v>
      </c>
      <c r="I28" s="10"/>
      <c r="J28" s="10"/>
      <c r="K28" s="10"/>
      <c r="L28" s="10"/>
      <c r="M28" s="10"/>
      <c r="N28" s="10"/>
      <c r="O28" s="10"/>
      <c r="P28" s="10"/>
      <c r="Q28" s="168"/>
      <c r="R28" s="169"/>
      <c r="S28" s="169"/>
      <c r="T28" s="169"/>
      <c r="U28" s="169"/>
      <c r="V28" s="169"/>
      <c r="W28" s="17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</row>
    <row r="29" spans="4:48">
      <c r="D29" s="10"/>
      <c r="E29" s="10"/>
      <c r="F29" s="10"/>
      <c r="G29" s="10"/>
      <c r="H29" s="12" t="s">
        <v>118</v>
      </c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</row>
    <row r="30" spans="4:48" ht="3" customHeight="1"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</row>
    <row r="31" spans="4:48" ht="3" customHeight="1"/>
    <row r="32" spans="4:48">
      <c r="D32" s="7" t="s">
        <v>119</v>
      </c>
      <c r="E32" s="8" t="s">
        <v>120</v>
      </c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</row>
    <row r="33" spans="4:48" ht="3" customHeight="1"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</row>
    <row r="34" spans="4:48">
      <c r="D34" s="10"/>
      <c r="E34" s="99">
        <v>20</v>
      </c>
      <c r="F34" s="203" t="s">
        <v>121</v>
      </c>
      <c r="G34" s="203"/>
      <c r="H34" s="203"/>
      <c r="I34" s="203"/>
      <c r="J34" s="203"/>
      <c r="K34" s="203"/>
      <c r="L34" s="203"/>
      <c r="M34" s="203"/>
      <c r="N34" s="203"/>
      <c r="O34" s="203"/>
      <c r="P34" s="203"/>
      <c r="Q34" s="203"/>
      <c r="R34" s="203"/>
      <c r="S34" s="203"/>
      <c r="T34" s="203"/>
      <c r="U34" s="203"/>
      <c r="V34" s="203"/>
      <c r="W34" s="203"/>
      <c r="X34" s="203"/>
      <c r="Y34" s="203"/>
      <c r="Z34" s="203"/>
      <c r="AA34" s="203"/>
      <c r="AB34" s="203"/>
      <c r="AC34" s="203"/>
      <c r="AD34" s="203"/>
      <c r="AE34" s="203"/>
      <c r="AF34" s="203"/>
      <c r="AG34" s="203"/>
      <c r="AH34" s="10"/>
      <c r="AI34" s="24"/>
      <c r="AJ34" s="12" t="s">
        <v>39</v>
      </c>
      <c r="AK34" s="10"/>
      <c r="AL34" s="10"/>
      <c r="AM34" s="24"/>
      <c r="AN34" s="12" t="s">
        <v>40</v>
      </c>
      <c r="AO34" s="10"/>
      <c r="AP34" s="168"/>
      <c r="AQ34" s="169"/>
      <c r="AR34" s="169"/>
      <c r="AS34" s="169"/>
      <c r="AT34" s="169"/>
      <c r="AU34" s="170"/>
      <c r="AV34" s="10"/>
    </row>
    <row r="35" spans="4:48">
      <c r="D35" s="10"/>
      <c r="E35" s="10"/>
      <c r="F35" s="203"/>
      <c r="G35" s="203"/>
      <c r="H35" s="203"/>
      <c r="I35" s="203"/>
      <c r="J35" s="203"/>
      <c r="K35" s="203"/>
      <c r="L35" s="203"/>
      <c r="M35" s="203"/>
      <c r="N35" s="203"/>
      <c r="O35" s="203"/>
      <c r="P35" s="203"/>
      <c r="Q35" s="203"/>
      <c r="R35" s="203"/>
      <c r="S35" s="203"/>
      <c r="T35" s="203"/>
      <c r="U35" s="203"/>
      <c r="V35" s="203"/>
      <c r="W35" s="203"/>
      <c r="X35" s="203"/>
      <c r="Y35" s="203"/>
      <c r="Z35" s="203"/>
      <c r="AA35" s="203"/>
      <c r="AB35" s="203"/>
      <c r="AC35" s="203"/>
      <c r="AD35" s="203"/>
      <c r="AE35" s="203"/>
      <c r="AF35" s="203"/>
      <c r="AG35" s="203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</row>
    <row r="36" spans="4:48">
      <c r="D36" s="10"/>
      <c r="E36" s="10"/>
      <c r="F36" s="101" t="s">
        <v>122</v>
      </c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</row>
    <row r="37" spans="4:48">
      <c r="D37" s="10"/>
      <c r="E37" s="10"/>
      <c r="F37" s="10" t="s">
        <v>123</v>
      </c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</row>
    <row r="38" spans="4:48" ht="3" customHeight="1"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</row>
    <row r="39" spans="4:48" ht="3" customHeight="1"/>
    <row r="40" spans="4:48">
      <c r="D40" s="7" t="s">
        <v>124</v>
      </c>
      <c r="E40" s="8" t="s">
        <v>125</v>
      </c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  <c r="AL40" s="34"/>
      <c r="AM40" s="34"/>
      <c r="AN40" s="34"/>
      <c r="AO40" s="34"/>
      <c r="AP40" s="34"/>
      <c r="AQ40" s="34"/>
      <c r="AR40" s="34"/>
      <c r="AS40" s="34"/>
      <c r="AT40" s="34"/>
      <c r="AU40" s="34"/>
      <c r="AV40" s="34"/>
    </row>
    <row r="41" spans="4:48" ht="3" customHeight="1"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</row>
    <row r="42" spans="4:48">
      <c r="D42" s="10"/>
      <c r="E42" s="99">
        <v>21</v>
      </c>
      <c r="F42" s="10"/>
      <c r="G42" s="99" t="s">
        <v>49</v>
      </c>
      <c r="H42" s="203" t="s">
        <v>126</v>
      </c>
      <c r="I42" s="203"/>
      <c r="J42" s="203"/>
      <c r="K42" s="203"/>
      <c r="L42" s="203"/>
      <c r="M42" s="203"/>
      <c r="N42" s="203"/>
      <c r="O42" s="203"/>
      <c r="P42" s="203"/>
      <c r="Q42" s="203"/>
      <c r="R42" s="203"/>
      <c r="S42" s="203"/>
      <c r="T42" s="203"/>
      <c r="U42" s="203"/>
      <c r="V42" s="203"/>
      <c r="W42" s="203"/>
      <c r="X42" s="203"/>
      <c r="Y42" s="203"/>
      <c r="Z42" s="203"/>
      <c r="AA42" s="203"/>
      <c r="AB42" s="203"/>
      <c r="AC42" s="203"/>
      <c r="AD42" s="203"/>
      <c r="AE42" s="203"/>
      <c r="AF42" s="203"/>
      <c r="AG42" s="203"/>
      <c r="AH42" s="10"/>
      <c r="AI42" s="10"/>
      <c r="AJ42" s="10"/>
      <c r="AK42" s="10"/>
      <c r="AL42" s="10"/>
      <c r="AM42" s="10"/>
      <c r="AN42" s="10"/>
      <c r="AO42" s="10"/>
      <c r="AP42" s="24"/>
      <c r="AQ42" s="12" t="s">
        <v>39</v>
      </c>
      <c r="AR42" s="10"/>
      <c r="AS42" s="10"/>
      <c r="AT42" s="24"/>
      <c r="AU42" s="12" t="s">
        <v>40</v>
      </c>
      <c r="AV42" s="10"/>
    </row>
    <row r="43" spans="4:48">
      <c r="D43" s="10"/>
      <c r="E43" s="10"/>
      <c r="F43" s="10"/>
      <c r="G43" s="10"/>
      <c r="H43" s="203"/>
      <c r="I43" s="203"/>
      <c r="J43" s="203"/>
      <c r="K43" s="203"/>
      <c r="L43" s="203"/>
      <c r="M43" s="203"/>
      <c r="N43" s="203"/>
      <c r="O43" s="203"/>
      <c r="P43" s="203"/>
      <c r="Q43" s="203"/>
      <c r="R43" s="203"/>
      <c r="S43" s="203"/>
      <c r="T43" s="203"/>
      <c r="U43" s="203"/>
      <c r="V43" s="203"/>
      <c r="W43" s="203"/>
      <c r="X43" s="203"/>
      <c r="Y43" s="203"/>
      <c r="Z43" s="203"/>
      <c r="AA43" s="203"/>
      <c r="AB43" s="203"/>
      <c r="AC43" s="203"/>
      <c r="AD43" s="203"/>
      <c r="AE43" s="203"/>
      <c r="AF43" s="203"/>
      <c r="AG43" s="203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</row>
    <row r="44" spans="4:48">
      <c r="D44" s="10"/>
      <c r="E44" s="10"/>
      <c r="F44" s="10"/>
      <c r="G44" s="10"/>
      <c r="H44" s="10" t="s">
        <v>127</v>
      </c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</row>
    <row r="45" spans="4:48" ht="3" customHeight="1"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</row>
    <row r="46" spans="4:48">
      <c r="D46" s="10"/>
      <c r="E46" s="10"/>
      <c r="F46" s="10"/>
      <c r="G46" s="99" t="s">
        <v>52</v>
      </c>
      <c r="H46" s="10" t="s">
        <v>128</v>
      </c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24"/>
      <c r="AQ46" s="12" t="s">
        <v>39</v>
      </c>
      <c r="AR46" s="10"/>
      <c r="AS46" s="10"/>
      <c r="AT46" s="24"/>
      <c r="AU46" s="12" t="s">
        <v>40</v>
      </c>
      <c r="AV46" s="10"/>
    </row>
    <row r="47" spans="4:48">
      <c r="D47" s="10"/>
      <c r="E47" s="10"/>
      <c r="F47" s="10"/>
      <c r="G47" s="10"/>
      <c r="H47" s="10" t="s">
        <v>129</v>
      </c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</row>
    <row r="48" spans="4:48" ht="3" customHeight="1"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</row>
    <row r="49" spans="4:48">
      <c r="D49" s="10"/>
      <c r="E49" s="10"/>
      <c r="F49" s="10"/>
      <c r="G49" s="99" t="s">
        <v>101</v>
      </c>
      <c r="H49" s="10" t="s">
        <v>130</v>
      </c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24"/>
      <c r="AQ49" s="12" t="s">
        <v>39</v>
      </c>
      <c r="AR49" s="10"/>
      <c r="AS49" s="10"/>
      <c r="AT49" s="24"/>
      <c r="AU49" s="12" t="s">
        <v>40</v>
      </c>
      <c r="AV49" s="10"/>
    </row>
    <row r="50" spans="4:48">
      <c r="D50" s="10"/>
      <c r="E50" s="10"/>
      <c r="F50" s="10"/>
      <c r="G50" s="10"/>
      <c r="H50" s="102" t="s">
        <v>131</v>
      </c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</row>
    <row r="51" spans="4:48" ht="3" customHeight="1"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</row>
    <row r="52" spans="4:48">
      <c r="D52" s="10"/>
      <c r="E52" s="10"/>
      <c r="F52" s="10"/>
      <c r="G52" s="99" t="s">
        <v>132</v>
      </c>
      <c r="H52" s="203" t="s">
        <v>133</v>
      </c>
      <c r="I52" s="203"/>
      <c r="J52" s="203"/>
      <c r="K52" s="203"/>
      <c r="L52" s="203"/>
      <c r="M52" s="203"/>
      <c r="N52" s="203"/>
      <c r="O52" s="203"/>
      <c r="P52" s="203"/>
      <c r="Q52" s="203"/>
      <c r="R52" s="203"/>
      <c r="S52" s="203"/>
      <c r="T52" s="203"/>
      <c r="U52" s="203"/>
      <c r="V52" s="203"/>
      <c r="W52" s="203"/>
      <c r="X52" s="203"/>
      <c r="Y52" s="203"/>
      <c r="Z52" s="203"/>
      <c r="AA52" s="203"/>
      <c r="AB52" s="203"/>
      <c r="AC52" s="203"/>
      <c r="AD52" s="203"/>
      <c r="AE52" s="203"/>
      <c r="AF52" s="203"/>
      <c r="AG52" s="203"/>
      <c r="AH52" s="10"/>
      <c r="AI52" s="10"/>
      <c r="AJ52" s="10"/>
      <c r="AK52" s="10"/>
      <c r="AL52" s="10"/>
      <c r="AM52" s="10"/>
      <c r="AN52" s="10"/>
      <c r="AO52" s="10"/>
      <c r="AP52" s="24"/>
      <c r="AQ52" s="12" t="s">
        <v>39</v>
      </c>
      <c r="AR52" s="10"/>
      <c r="AS52" s="10"/>
      <c r="AT52" s="24"/>
      <c r="AU52" s="12" t="s">
        <v>40</v>
      </c>
      <c r="AV52" s="10"/>
    </row>
    <row r="53" spans="4:48">
      <c r="D53" s="10"/>
      <c r="E53" s="10"/>
      <c r="F53" s="10"/>
      <c r="G53" s="10"/>
      <c r="H53" s="203"/>
      <c r="I53" s="203"/>
      <c r="J53" s="203"/>
      <c r="K53" s="203"/>
      <c r="L53" s="203"/>
      <c r="M53" s="203"/>
      <c r="N53" s="203"/>
      <c r="O53" s="203"/>
      <c r="P53" s="203"/>
      <c r="Q53" s="203"/>
      <c r="R53" s="203"/>
      <c r="S53" s="203"/>
      <c r="T53" s="203"/>
      <c r="U53" s="203"/>
      <c r="V53" s="203"/>
      <c r="W53" s="203"/>
      <c r="X53" s="203"/>
      <c r="Y53" s="203"/>
      <c r="Z53" s="203"/>
      <c r="AA53" s="203"/>
      <c r="AB53" s="203"/>
      <c r="AC53" s="203"/>
      <c r="AD53" s="203"/>
      <c r="AE53" s="203"/>
      <c r="AF53" s="203"/>
      <c r="AG53" s="203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</row>
    <row r="54" spans="4:48">
      <c r="D54" s="10"/>
      <c r="E54" s="10"/>
      <c r="F54" s="10"/>
      <c r="G54" s="10"/>
      <c r="H54" s="101" t="s">
        <v>131</v>
      </c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</row>
    <row r="55" spans="4:48" ht="3" customHeight="1"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</row>
    <row r="56" spans="4:48">
      <c r="D56" s="10"/>
      <c r="E56" s="10"/>
      <c r="F56" s="10"/>
      <c r="G56" s="99" t="s">
        <v>134</v>
      </c>
      <c r="H56" s="10" t="s">
        <v>135</v>
      </c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24"/>
      <c r="AQ56" s="12" t="s">
        <v>39</v>
      </c>
      <c r="AR56" s="10"/>
      <c r="AS56" s="10"/>
      <c r="AT56" s="24"/>
      <c r="AU56" s="12" t="s">
        <v>40</v>
      </c>
      <c r="AV56" s="10"/>
    </row>
    <row r="57" spans="4:48">
      <c r="D57" s="10"/>
      <c r="E57" s="10"/>
      <c r="F57" s="10"/>
      <c r="G57" s="10"/>
      <c r="H57" s="101" t="s">
        <v>136</v>
      </c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</row>
    <row r="58" spans="4:48" ht="3" customHeight="1"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</row>
    <row r="59" spans="4:48">
      <c r="D59" s="10"/>
      <c r="E59" s="10"/>
      <c r="F59" s="10"/>
      <c r="G59" s="99" t="s">
        <v>137</v>
      </c>
      <c r="H59" s="203" t="s">
        <v>138</v>
      </c>
      <c r="I59" s="203"/>
      <c r="J59" s="203"/>
      <c r="K59" s="203"/>
      <c r="L59" s="203"/>
      <c r="M59" s="203"/>
      <c r="N59" s="203"/>
      <c r="O59" s="203"/>
      <c r="P59" s="203"/>
      <c r="Q59" s="203"/>
      <c r="R59" s="203"/>
      <c r="S59" s="203"/>
      <c r="T59" s="203"/>
      <c r="U59" s="203"/>
      <c r="V59" s="203"/>
      <c r="W59" s="203"/>
      <c r="X59" s="203"/>
      <c r="Y59" s="203"/>
      <c r="Z59" s="203"/>
      <c r="AA59" s="203"/>
      <c r="AB59" s="203"/>
      <c r="AC59" s="203"/>
      <c r="AD59" s="203"/>
      <c r="AE59" s="203"/>
      <c r="AF59" s="203"/>
      <c r="AG59" s="203"/>
      <c r="AH59" s="10"/>
      <c r="AI59" s="10"/>
      <c r="AJ59" s="10"/>
      <c r="AK59" s="10"/>
      <c r="AL59" s="10"/>
      <c r="AM59" s="10"/>
      <c r="AN59" s="10"/>
      <c r="AO59" s="10"/>
      <c r="AP59" s="24"/>
      <c r="AQ59" s="12" t="s">
        <v>39</v>
      </c>
      <c r="AR59" s="10"/>
      <c r="AS59" s="10"/>
      <c r="AT59" s="24"/>
      <c r="AU59" s="12" t="s">
        <v>40</v>
      </c>
      <c r="AV59" s="10"/>
    </row>
    <row r="60" spans="4:48">
      <c r="D60" s="10"/>
      <c r="E60" s="10"/>
      <c r="F60" s="10"/>
      <c r="G60" s="10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203"/>
      <c r="Y60" s="203"/>
      <c r="Z60" s="203"/>
      <c r="AA60" s="203"/>
      <c r="AB60" s="203"/>
      <c r="AC60" s="203"/>
      <c r="AD60" s="203"/>
      <c r="AE60" s="203"/>
      <c r="AF60" s="203"/>
      <c r="AG60" s="203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</row>
    <row r="61" spans="4:48">
      <c r="D61" s="10"/>
      <c r="E61" s="10"/>
      <c r="F61" s="10"/>
      <c r="G61" s="10"/>
      <c r="H61" s="101" t="s">
        <v>139</v>
      </c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</row>
    <row r="62" spans="4:48" ht="3" customHeight="1"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</row>
    <row r="63" spans="4:48">
      <c r="D63" s="10"/>
      <c r="E63" s="10"/>
      <c r="F63" s="10"/>
      <c r="G63" s="99" t="s">
        <v>140</v>
      </c>
      <c r="H63" s="203" t="s">
        <v>141</v>
      </c>
      <c r="I63" s="203"/>
      <c r="J63" s="203"/>
      <c r="K63" s="203"/>
      <c r="L63" s="203"/>
      <c r="M63" s="203"/>
      <c r="N63" s="203"/>
      <c r="O63" s="203"/>
      <c r="P63" s="203"/>
      <c r="Q63" s="203"/>
      <c r="R63" s="203"/>
      <c r="S63" s="203"/>
      <c r="T63" s="203"/>
      <c r="U63" s="203"/>
      <c r="V63" s="203"/>
      <c r="W63" s="203"/>
      <c r="X63" s="203"/>
      <c r="Y63" s="203"/>
      <c r="Z63" s="203"/>
      <c r="AA63" s="203"/>
      <c r="AB63" s="203"/>
      <c r="AC63" s="203"/>
      <c r="AD63" s="203"/>
      <c r="AE63" s="203"/>
      <c r="AF63" s="203"/>
      <c r="AG63" s="203"/>
      <c r="AH63" s="10"/>
      <c r="AI63" s="10"/>
      <c r="AJ63" s="10"/>
      <c r="AK63" s="10"/>
      <c r="AL63" s="10"/>
      <c r="AM63" s="10"/>
      <c r="AN63" s="10"/>
      <c r="AO63" s="10"/>
      <c r="AP63" s="24"/>
      <c r="AQ63" s="12" t="s">
        <v>39</v>
      </c>
      <c r="AR63" s="10"/>
      <c r="AS63" s="10"/>
      <c r="AT63" s="24"/>
      <c r="AU63" s="12" t="s">
        <v>40</v>
      </c>
      <c r="AV63" s="10"/>
    </row>
    <row r="64" spans="4:48">
      <c r="D64" s="10"/>
      <c r="E64" s="10"/>
      <c r="F64" s="10"/>
      <c r="G64" s="10"/>
      <c r="H64" s="203"/>
      <c r="I64" s="203"/>
      <c r="J64" s="203"/>
      <c r="K64" s="203"/>
      <c r="L64" s="203"/>
      <c r="M64" s="203"/>
      <c r="N64" s="203"/>
      <c r="O64" s="203"/>
      <c r="P64" s="203"/>
      <c r="Q64" s="203"/>
      <c r="R64" s="203"/>
      <c r="S64" s="203"/>
      <c r="T64" s="203"/>
      <c r="U64" s="203"/>
      <c r="V64" s="203"/>
      <c r="W64" s="203"/>
      <c r="X64" s="203"/>
      <c r="Y64" s="203"/>
      <c r="Z64" s="203"/>
      <c r="AA64" s="203"/>
      <c r="AB64" s="203"/>
      <c r="AC64" s="203"/>
      <c r="AD64" s="203"/>
      <c r="AE64" s="203"/>
      <c r="AF64" s="203"/>
      <c r="AG64" s="203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</row>
    <row r="65" spans="4:48">
      <c r="D65" s="10"/>
      <c r="E65" s="10"/>
      <c r="F65" s="10"/>
      <c r="G65" s="10"/>
      <c r="H65" s="10" t="s">
        <v>63</v>
      </c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</row>
    <row r="66" spans="4:48" ht="3" customHeight="1"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</row>
    <row r="67" spans="4:48">
      <c r="D67" s="10"/>
      <c r="E67" s="10"/>
      <c r="F67" s="10"/>
      <c r="G67" s="99" t="s">
        <v>142</v>
      </c>
      <c r="H67" s="10" t="s">
        <v>143</v>
      </c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24"/>
      <c r="AQ67" s="12" t="s">
        <v>39</v>
      </c>
      <c r="AR67" s="10"/>
      <c r="AS67" s="10"/>
      <c r="AT67" s="24"/>
      <c r="AU67" s="12" t="s">
        <v>40</v>
      </c>
      <c r="AV67" s="10"/>
    </row>
    <row r="68" spans="4:48">
      <c r="D68" s="10"/>
      <c r="E68" s="10"/>
      <c r="F68" s="10"/>
      <c r="G68" s="10"/>
      <c r="H68" s="10" t="s">
        <v>144</v>
      </c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</row>
    <row r="69" spans="4:48" ht="3" customHeight="1"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</row>
    <row r="70" spans="4:48">
      <c r="D70" s="10"/>
      <c r="E70" s="10"/>
      <c r="F70" s="10"/>
      <c r="G70" s="99" t="s">
        <v>145</v>
      </c>
      <c r="H70" s="203" t="s">
        <v>146</v>
      </c>
      <c r="I70" s="203"/>
      <c r="J70" s="203"/>
      <c r="K70" s="203"/>
      <c r="L70" s="203"/>
      <c r="M70" s="203"/>
      <c r="N70" s="203"/>
      <c r="O70" s="203"/>
      <c r="P70" s="203"/>
      <c r="Q70" s="203"/>
      <c r="R70" s="203"/>
      <c r="S70" s="203"/>
      <c r="T70" s="203"/>
      <c r="U70" s="203"/>
      <c r="V70" s="203"/>
      <c r="W70" s="203"/>
      <c r="X70" s="203"/>
      <c r="Y70" s="203"/>
      <c r="Z70" s="203"/>
      <c r="AA70" s="203"/>
      <c r="AB70" s="203"/>
      <c r="AC70" s="203"/>
      <c r="AD70" s="203"/>
      <c r="AE70" s="203"/>
      <c r="AF70" s="203"/>
      <c r="AG70" s="203"/>
      <c r="AH70" s="10"/>
      <c r="AI70" s="10"/>
      <c r="AJ70" s="10"/>
      <c r="AK70" s="10"/>
      <c r="AL70" s="10"/>
      <c r="AM70" s="10"/>
      <c r="AN70" s="10"/>
      <c r="AO70" s="10"/>
      <c r="AP70" s="24"/>
      <c r="AQ70" s="12" t="s">
        <v>39</v>
      </c>
      <c r="AR70" s="10"/>
      <c r="AS70" s="10"/>
      <c r="AT70" s="24"/>
      <c r="AU70" s="12" t="s">
        <v>40</v>
      </c>
      <c r="AV70" s="10"/>
    </row>
    <row r="71" spans="4:48">
      <c r="D71" s="10"/>
      <c r="E71" s="10"/>
      <c r="F71" s="10"/>
      <c r="G71" s="10"/>
      <c r="H71" s="203"/>
      <c r="I71" s="203"/>
      <c r="J71" s="203"/>
      <c r="K71" s="203"/>
      <c r="L71" s="203"/>
      <c r="M71" s="203"/>
      <c r="N71" s="203"/>
      <c r="O71" s="203"/>
      <c r="P71" s="203"/>
      <c r="Q71" s="203"/>
      <c r="R71" s="203"/>
      <c r="S71" s="203"/>
      <c r="T71" s="203"/>
      <c r="U71" s="203"/>
      <c r="V71" s="203"/>
      <c r="W71" s="203"/>
      <c r="X71" s="203"/>
      <c r="Y71" s="203"/>
      <c r="Z71" s="203"/>
      <c r="AA71" s="203"/>
      <c r="AB71" s="203"/>
      <c r="AC71" s="203"/>
      <c r="AD71" s="203"/>
      <c r="AE71" s="203"/>
      <c r="AF71" s="203"/>
      <c r="AG71" s="203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</row>
    <row r="72" spans="4:48">
      <c r="D72" s="10"/>
      <c r="E72" s="10"/>
      <c r="F72" s="10"/>
      <c r="G72" s="10"/>
      <c r="H72" s="10" t="s">
        <v>147</v>
      </c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</row>
    <row r="73" spans="4:48" ht="3" customHeight="1"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</row>
    <row r="74" spans="4:48">
      <c r="D74" s="10"/>
      <c r="E74" s="10"/>
      <c r="F74" s="10"/>
      <c r="G74" s="99" t="s">
        <v>148</v>
      </c>
      <c r="H74" s="203" t="s">
        <v>149</v>
      </c>
      <c r="I74" s="203"/>
      <c r="J74" s="203"/>
      <c r="K74" s="203"/>
      <c r="L74" s="203"/>
      <c r="M74" s="203"/>
      <c r="N74" s="203"/>
      <c r="O74" s="203"/>
      <c r="P74" s="203"/>
      <c r="Q74" s="203"/>
      <c r="R74" s="203"/>
      <c r="S74" s="203"/>
      <c r="T74" s="203"/>
      <c r="U74" s="203"/>
      <c r="V74" s="203"/>
      <c r="W74" s="203"/>
      <c r="X74" s="203"/>
      <c r="Y74" s="203"/>
      <c r="Z74" s="203"/>
      <c r="AA74" s="203"/>
      <c r="AB74" s="203"/>
      <c r="AC74" s="203"/>
      <c r="AD74" s="203"/>
      <c r="AE74" s="203"/>
      <c r="AF74" s="203"/>
      <c r="AG74" s="203"/>
      <c r="AH74" s="10"/>
      <c r="AI74" s="10"/>
      <c r="AJ74" s="10"/>
      <c r="AK74" s="10"/>
      <c r="AL74" s="10"/>
      <c r="AM74" s="10"/>
      <c r="AN74" s="10"/>
      <c r="AO74" s="10"/>
      <c r="AP74" s="168"/>
      <c r="AQ74" s="169"/>
      <c r="AR74" s="169"/>
      <c r="AS74" s="169"/>
      <c r="AT74" s="169"/>
      <c r="AU74" s="170"/>
      <c r="AV74" s="10"/>
    </row>
    <row r="75" spans="4:48">
      <c r="D75" s="10"/>
      <c r="E75" s="10"/>
      <c r="F75" s="10"/>
      <c r="G75" s="10"/>
      <c r="H75" s="203"/>
      <c r="I75" s="203"/>
      <c r="J75" s="203"/>
      <c r="K75" s="203"/>
      <c r="L75" s="203"/>
      <c r="M75" s="203"/>
      <c r="N75" s="203"/>
      <c r="O75" s="203"/>
      <c r="P75" s="203"/>
      <c r="Q75" s="203"/>
      <c r="R75" s="203"/>
      <c r="S75" s="203"/>
      <c r="T75" s="203"/>
      <c r="U75" s="203"/>
      <c r="V75" s="203"/>
      <c r="W75" s="203"/>
      <c r="X75" s="203"/>
      <c r="Y75" s="203"/>
      <c r="Z75" s="203"/>
      <c r="AA75" s="203"/>
      <c r="AB75" s="203"/>
      <c r="AC75" s="203"/>
      <c r="AD75" s="203"/>
      <c r="AE75" s="203"/>
      <c r="AF75" s="203"/>
      <c r="AG75" s="203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</row>
    <row r="76" spans="4:48">
      <c r="D76" s="10"/>
      <c r="E76" s="10"/>
      <c r="F76" s="10"/>
      <c r="G76" s="10"/>
      <c r="H76" s="101" t="s">
        <v>150</v>
      </c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</row>
    <row r="77" spans="4:48" ht="3" customHeight="1"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</row>
    <row r="78" spans="4:48" ht="3" customHeight="1"/>
    <row r="79" spans="4:48">
      <c r="D79" s="7" t="s">
        <v>151</v>
      </c>
      <c r="E79" s="8" t="s">
        <v>152</v>
      </c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  <c r="AG79" s="34"/>
      <c r="AH79" s="34"/>
      <c r="AI79" s="34"/>
      <c r="AJ79" s="34"/>
      <c r="AK79" s="34"/>
      <c r="AL79" s="34"/>
      <c r="AM79" s="34"/>
      <c r="AN79" s="34"/>
      <c r="AO79" s="34"/>
      <c r="AP79" s="34"/>
      <c r="AQ79" s="34"/>
      <c r="AR79" s="34"/>
      <c r="AS79" s="34"/>
      <c r="AT79" s="34"/>
      <c r="AU79" s="34"/>
      <c r="AV79" s="34"/>
    </row>
    <row r="80" spans="4:48" ht="3" customHeight="1"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</row>
    <row r="81" spans="4:48">
      <c r="D81" s="10"/>
      <c r="E81" s="99" t="s">
        <v>49</v>
      </c>
      <c r="F81" s="10" t="s">
        <v>27</v>
      </c>
      <c r="G81" s="10" t="s">
        <v>153</v>
      </c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68"/>
      <c r="AU81" s="170"/>
      <c r="AV81" s="10"/>
    </row>
    <row r="82" spans="4:48" ht="3" customHeight="1"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</row>
    <row r="83" spans="4:48">
      <c r="D83" s="10"/>
      <c r="E83" s="10"/>
      <c r="F83" s="10" t="s">
        <v>29</v>
      </c>
      <c r="G83" s="10" t="s">
        <v>154</v>
      </c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68"/>
      <c r="AU83" s="170"/>
      <c r="AV83" s="10"/>
    </row>
    <row r="84" spans="4:48" ht="3" customHeight="1"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</row>
    <row r="85" spans="4:48">
      <c r="D85" s="10"/>
      <c r="E85" s="99" t="s">
        <v>52</v>
      </c>
      <c r="F85" s="10" t="s">
        <v>155</v>
      </c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68"/>
      <c r="AU85" s="170"/>
      <c r="AV85" s="10"/>
    </row>
    <row r="86" spans="4:48" ht="3" customHeight="1"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</row>
    <row r="87" spans="4:48">
      <c r="D87" s="10"/>
      <c r="E87" s="99" t="s">
        <v>101</v>
      </c>
      <c r="F87" s="10" t="s">
        <v>156</v>
      </c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68"/>
      <c r="AU87" s="170"/>
      <c r="AV87" s="10"/>
    </row>
    <row r="88" spans="4:48" ht="3" customHeight="1"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</row>
    <row r="89" spans="4:48">
      <c r="D89" s="10"/>
      <c r="E89" s="99" t="s">
        <v>132</v>
      </c>
      <c r="F89" s="10" t="s">
        <v>157</v>
      </c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68"/>
      <c r="AU89" s="170"/>
      <c r="AV89" s="10"/>
    </row>
    <row r="90" spans="4:48" ht="3" customHeight="1"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</row>
    <row r="91" spans="4:48">
      <c r="D91" s="10"/>
      <c r="E91" s="99" t="s">
        <v>134</v>
      </c>
      <c r="F91" s="10" t="s">
        <v>158</v>
      </c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68"/>
      <c r="AU91" s="170"/>
      <c r="AV91" s="10"/>
    </row>
    <row r="92" spans="4:48" ht="3" customHeight="1"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</row>
    <row r="93" spans="4:48">
      <c r="D93" s="10"/>
      <c r="E93" s="99" t="s">
        <v>137</v>
      </c>
      <c r="F93" s="203" t="s">
        <v>159</v>
      </c>
      <c r="G93" s="203"/>
      <c r="H93" s="203"/>
      <c r="I93" s="203"/>
      <c r="J93" s="203"/>
      <c r="K93" s="203"/>
      <c r="L93" s="203"/>
      <c r="M93" s="203"/>
      <c r="N93" s="203"/>
      <c r="O93" s="203"/>
      <c r="P93" s="203"/>
      <c r="Q93" s="203"/>
      <c r="R93" s="203"/>
      <c r="S93" s="203"/>
      <c r="T93" s="203"/>
      <c r="U93" s="203"/>
      <c r="V93" s="203"/>
      <c r="W93" s="203"/>
      <c r="X93" s="203"/>
      <c r="Y93" s="203"/>
      <c r="Z93" s="203"/>
      <c r="AA93" s="203"/>
      <c r="AB93" s="203"/>
      <c r="AC93" s="203"/>
      <c r="AD93" s="203"/>
      <c r="AE93" s="203"/>
      <c r="AF93" s="203"/>
      <c r="AG93" s="203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68"/>
      <c r="AU93" s="170"/>
      <c r="AV93" s="10"/>
    </row>
    <row r="94" spans="4:48">
      <c r="D94" s="10"/>
      <c r="E94" s="10"/>
      <c r="F94" s="203"/>
      <c r="G94" s="203"/>
      <c r="H94" s="203"/>
      <c r="I94" s="203"/>
      <c r="J94" s="203"/>
      <c r="K94" s="203"/>
      <c r="L94" s="203"/>
      <c r="M94" s="203"/>
      <c r="N94" s="203"/>
      <c r="O94" s="203"/>
      <c r="P94" s="203"/>
      <c r="Q94" s="203"/>
      <c r="R94" s="203"/>
      <c r="S94" s="203"/>
      <c r="T94" s="203"/>
      <c r="U94" s="203"/>
      <c r="V94" s="203"/>
      <c r="W94" s="203"/>
      <c r="X94" s="203"/>
      <c r="Y94" s="203"/>
      <c r="Z94" s="203"/>
      <c r="AA94" s="203"/>
      <c r="AB94" s="203"/>
      <c r="AC94" s="203"/>
      <c r="AD94" s="203"/>
      <c r="AE94" s="203"/>
      <c r="AF94" s="203"/>
      <c r="AG94" s="203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</row>
    <row r="95" spans="4:48" ht="3" customHeight="1"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</row>
    <row r="96" spans="4:48">
      <c r="D96" s="10"/>
      <c r="E96" s="10"/>
      <c r="F96" s="10" t="s">
        <v>27</v>
      </c>
      <c r="G96" s="10" t="s">
        <v>160</v>
      </c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68"/>
      <c r="AU96" s="170"/>
      <c r="AV96" s="10"/>
    </row>
    <row r="97" spans="4:48" ht="3" customHeight="1"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</row>
    <row r="98" spans="4:48">
      <c r="D98" s="10"/>
      <c r="E98" s="10"/>
      <c r="F98" s="10" t="s">
        <v>29</v>
      </c>
      <c r="G98" s="10" t="s">
        <v>161</v>
      </c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68"/>
      <c r="AU98" s="170"/>
      <c r="AV98" s="10"/>
    </row>
    <row r="99" spans="4:48" ht="3" customHeight="1"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</row>
    <row r="100" spans="4:48">
      <c r="D100" s="10"/>
      <c r="E100" s="10"/>
      <c r="F100" s="10" t="s">
        <v>31</v>
      </c>
      <c r="G100" s="10" t="s">
        <v>162</v>
      </c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68"/>
      <c r="AU100" s="170"/>
      <c r="AV100" s="10"/>
    </row>
    <row r="101" spans="4:48" ht="3" customHeight="1"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</row>
    <row r="102" spans="4:48">
      <c r="D102" s="10"/>
      <c r="E102" s="10"/>
      <c r="F102" s="10" t="s">
        <v>33</v>
      </c>
      <c r="G102" s="203" t="s">
        <v>163</v>
      </c>
      <c r="H102" s="203"/>
      <c r="I102" s="203"/>
      <c r="J102" s="203"/>
      <c r="K102" s="203"/>
      <c r="L102" s="203"/>
      <c r="M102" s="203"/>
      <c r="N102" s="203"/>
      <c r="O102" s="203"/>
      <c r="P102" s="203"/>
      <c r="Q102" s="203"/>
      <c r="R102" s="203"/>
      <c r="S102" s="203"/>
      <c r="T102" s="203"/>
      <c r="U102" s="203"/>
      <c r="V102" s="203"/>
      <c r="W102" s="203"/>
      <c r="X102" s="203"/>
      <c r="Y102" s="203"/>
      <c r="Z102" s="203"/>
      <c r="AA102" s="203"/>
      <c r="AB102" s="203"/>
      <c r="AC102" s="203"/>
      <c r="AD102" s="203"/>
      <c r="AE102" s="203"/>
      <c r="AF102" s="203"/>
      <c r="AG102" s="203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68"/>
      <c r="AU102" s="170"/>
      <c r="AV102" s="10"/>
    </row>
    <row r="103" spans="4:48">
      <c r="D103" s="10"/>
      <c r="E103" s="10"/>
      <c r="F103" s="10"/>
      <c r="G103" s="203"/>
      <c r="H103" s="203"/>
      <c r="I103" s="203"/>
      <c r="J103" s="203"/>
      <c r="K103" s="203"/>
      <c r="L103" s="203"/>
      <c r="M103" s="203"/>
      <c r="N103" s="203"/>
      <c r="O103" s="203"/>
      <c r="P103" s="203"/>
      <c r="Q103" s="203"/>
      <c r="R103" s="203"/>
      <c r="S103" s="203"/>
      <c r="T103" s="203"/>
      <c r="U103" s="203"/>
      <c r="V103" s="203"/>
      <c r="W103" s="203"/>
      <c r="X103" s="203"/>
      <c r="Y103" s="203"/>
      <c r="Z103" s="203"/>
      <c r="AA103" s="203"/>
      <c r="AB103" s="203"/>
      <c r="AC103" s="203"/>
      <c r="AD103" s="203"/>
      <c r="AE103" s="203"/>
      <c r="AF103" s="203"/>
      <c r="AG103" s="203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</row>
    <row r="104" spans="4:48" ht="3" customHeight="1"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</row>
    <row r="105" spans="4:48">
      <c r="D105" s="10"/>
      <c r="E105" s="99" t="s">
        <v>140</v>
      </c>
      <c r="F105" s="10" t="s">
        <v>164</v>
      </c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68"/>
      <c r="AU105" s="170"/>
      <c r="AV105" s="10"/>
    </row>
    <row r="106" spans="4:48" ht="3" customHeight="1"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</row>
    <row r="107" spans="4:48">
      <c r="D107" s="10"/>
      <c r="E107" s="99" t="s">
        <v>142</v>
      </c>
      <c r="F107" s="203" t="s">
        <v>165</v>
      </c>
      <c r="G107" s="203"/>
      <c r="H107" s="203"/>
      <c r="I107" s="203"/>
      <c r="J107" s="203"/>
      <c r="K107" s="203"/>
      <c r="L107" s="203"/>
      <c r="M107" s="203"/>
      <c r="N107" s="203"/>
      <c r="O107" s="203"/>
      <c r="P107" s="203"/>
      <c r="Q107" s="203"/>
      <c r="R107" s="203"/>
      <c r="S107" s="203"/>
      <c r="T107" s="203"/>
      <c r="U107" s="203"/>
      <c r="V107" s="203"/>
      <c r="W107" s="203"/>
      <c r="X107" s="203"/>
      <c r="Y107" s="203"/>
      <c r="Z107" s="203"/>
      <c r="AA107" s="203"/>
      <c r="AB107" s="203"/>
      <c r="AC107" s="203"/>
      <c r="AD107" s="203"/>
      <c r="AE107" s="203"/>
      <c r="AF107" s="203"/>
      <c r="AG107" s="203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</row>
    <row r="108" spans="4:48">
      <c r="D108" s="10"/>
      <c r="E108" s="10"/>
      <c r="F108" s="203"/>
      <c r="G108" s="203"/>
      <c r="H108" s="203"/>
      <c r="I108" s="203"/>
      <c r="J108" s="203"/>
      <c r="K108" s="203"/>
      <c r="L108" s="203"/>
      <c r="M108" s="203"/>
      <c r="N108" s="203"/>
      <c r="O108" s="203"/>
      <c r="P108" s="203"/>
      <c r="Q108" s="203"/>
      <c r="R108" s="203"/>
      <c r="S108" s="203"/>
      <c r="T108" s="203"/>
      <c r="U108" s="203"/>
      <c r="V108" s="203"/>
      <c r="W108" s="203"/>
      <c r="X108" s="203"/>
      <c r="Y108" s="203"/>
      <c r="Z108" s="203"/>
      <c r="AA108" s="203"/>
      <c r="AB108" s="203"/>
      <c r="AC108" s="203"/>
      <c r="AD108" s="203"/>
      <c r="AE108" s="203"/>
      <c r="AF108" s="203"/>
      <c r="AG108" s="203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</row>
    <row r="109" spans="4:48" ht="3" customHeight="1"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</row>
    <row r="110" spans="4:48">
      <c r="D110" s="10"/>
      <c r="E110" s="10"/>
      <c r="F110" s="10" t="s">
        <v>27</v>
      </c>
      <c r="G110" s="10" t="s">
        <v>166</v>
      </c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68"/>
      <c r="AU110" s="170"/>
      <c r="AV110" s="10"/>
    </row>
    <row r="111" spans="4:48" ht="3" customHeight="1"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</row>
    <row r="112" spans="4:48">
      <c r="D112" s="10"/>
      <c r="E112" s="10"/>
      <c r="F112" s="10" t="s">
        <v>29</v>
      </c>
      <c r="G112" s="10" t="s">
        <v>167</v>
      </c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68"/>
      <c r="AU112" s="170"/>
      <c r="AV112" s="10"/>
    </row>
    <row r="113" spans="4:48" ht="3" customHeight="1"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</row>
    <row r="114" spans="4:48">
      <c r="D114" s="10"/>
      <c r="E114" s="99" t="s">
        <v>145</v>
      </c>
      <c r="F114" s="10" t="s">
        <v>168</v>
      </c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68"/>
      <c r="AU114" s="170"/>
      <c r="AV114" s="10"/>
    </row>
    <row r="115" spans="4:48" ht="3" customHeight="1"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</row>
    <row r="116" spans="4:48">
      <c r="D116" s="10"/>
      <c r="E116" s="99" t="s">
        <v>148</v>
      </c>
      <c r="F116" s="10" t="s">
        <v>169</v>
      </c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68"/>
      <c r="AU116" s="170"/>
      <c r="AV116" s="10"/>
    </row>
    <row r="117" spans="4:48" ht="3" customHeight="1"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</row>
    <row r="118" spans="4:48" ht="3" customHeight="1"/>
    <row r="119" spans="4:48">
      <c r="D119" s="7" t="s">
        <v>170</v>
      </c>
      <c r="E119" s="8" t="s">
        <v>171</v>
      </c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  <c r="AA119" s="34"/>
      <c r="AB119" s="34"/>
      <c r="AC119" s="34"/>
      <c r="AD119" s="34"/>
      <c r="AE119" s="34"/>
      <c r="AF119" s="34"/>
      <c r="AG119" s="34"/>
      <c r="AH119" s="34"/>
      <c r="AI119" s="34"/>
      <c r="AJ119" s="34"/>
      <c r="AK119" s="34"/>
      <c r="AL119" s="34"/>
      <c r="AM119" s="34"/>
      <c r="AN119" s="34"/>
      <c r="AO119" s="34"/>
      <c r="AP119" s="34"/>
      <c r="AQ119" s="34"/>
      <c r="AR119" s="34"/>
      <c r="AS119" s="34"/>
      <c r="AT119" s="34"/>
      <c r="AU119" s="34"/>
      <c r="AV119" s="34"/>
    </row>
    <row r="120" spans="4:48" ht="3" customHeight="1"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</row>
    <row r="121" spans="4:48">
      <c r="D121" s="113"/>
      <c r="E121" s="94"/>
      <c r="F121" s="213" t="s">
        <v>172</v>
      </c>
      <c r="G121" s="213"/>
      <c r="H121" s="213"/>
      <c r="I121" s="213"/>
      <c r="J121" s="213"/>
      <c r="K121" s="213"/>
      <c r="L121" s="213"/>
      <c r="M121" s="213"/>
      <c r="N121" s="213"/>
      <c r="O121" s="213"/>
      <c r="P121" s="213"/>
      <c r="Q121" s="213"/>
      <c r="R121" s="213"/>
      <c r="S121" s="213"/>
      <c r="T121" s="213"/>
      <c r="U121" s="213"/>
      <c r="V121" s="213"/>
      <c r="W121" s="213"/>
      <c r="X121" s="213"/>
      <c r="Y121" s="213"/>
      <c r="Z121" s="213"/>
      <c r="AA121" s="213"/>
      <c r="AB121" s="213"/>
      <c r="AC121" s="213"/>
      <c r="AD121" s="213"/>
      <c r="AE121" s="213"/>
      <c r="AF121" s="213"/>
      <c r="AG121" s="213"/>
      <c r="AH121" s="213"/>
      <c r="AI121" s="213"/>
      <c r="AJ121" s="213"/>
      <c r="AK121" s="213"/>
      <c r="AL121" s="213"/>
      <c r="AM121" s="213"/>
      <c r="AN121" s="213"/>
      <c r="AO121" s="213"/>
      <c r="AP121" s="213"/>
      <c r="AQ121" s="213"/>
      <c r="AR121" s="213"/>
      <c r="AS121" s="213"/>
      <c r="AT121" s="213"/>
      <c r="AU121" s="213"/>
      <c r="AV121" s="113"/>
    </row>
    <row r="122" spans="4:48">
      <c r="D122" s="113"/>
      <c r="E122" s="113"/>
      <c r="F122" s="213"/>
      <c r="G122" s="213"/>
      <c r="H122" s="213"/>
      <c r="I122" s="213"/>
      <c r="J122" s="213"/>
      <c r="K122" s="213"/>
      <c r="L122" s="213"/>
      <c r="M122" s="213"/>
      <c r="N122" s="213"/>
      <c r="O122" s="213"/>
      <c r="P122" s="213"/>
      <c r="Q122" s="213"/>
      <c r="R122" s="213"/>
      <c r="S122" s="213"/>
      <c r="T122" s="213"/>
      <c r="U122" s="213"/>
      <c r="V122" s="213"/>
      <c r="W122" s="213"/>
      <c r="X122" s="213"/>
      <c r="Y122" s="213"/>
      <c r="Z122" s="213"/>
      <c r="AA122" s="213"/>
      <c r="AB122" s="213"/>
      <c r="AC122" s="213"/>
      <c r="AD122" s="213"/>
      <c r="AE122" s="213"/>
      <c r="AF122" s="213"/>
      <c r="AG122" s="213"/>
      <c r="AH122" s="213"/>
      <c r="AI122" s="213"/>
      <c r="AJ122" s="213"/>
      <c r="AK122" s="213"/>
      <c r="AL122" s="213"/>
      <c r="AM122" s="213"/>
      <c r="AN122" s="213"/>
      <c r="AO122" s="213"/>
      <c r="AP122" s="213"/>
      <c r="AQ122" s="213"/>
      <c r="AR122" s="213"/>
      <c r="AS122" s="213"/>
      <c r="AT122" s="213"/>
      <c r="AU122" s="213"/>
      <c r="AV122" s="113"/>
    </row>
    <row r="123" spans="4:48" ht="3" customHeight="1">
      <c r="D123" s="113"/>
      <c r="E123" s="113"/>
      <c r="F123" s="113"/>
      <c r="G123" s="113"/>
      <c r="H123" s="113"/>
      <c r="I123" s="113"/>
      <c r="J123" s="113"/>
      <c r="K123" s="113"/>
      <c r="L123" s="113"/>
      <c r="M123" s="113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Z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  <c r="AM123" s="113"/>
      <c r="AN123" s="113"/>
      <c r="AO123" s="113"/>
      <c r="AP123" s="113"/>
      <c r="AQ123" s="113"/>
      <c r="AR123" s="113"/>
      <c r="AS123" s="113"/>
      <c r="AT123" s="113"/>
      <c r="AU123" s="113"/>
      <c r="AV123" s="113"/>
    </row>
    <row r="124" spans="4:48" ht="3" customHeight="1"/>
    <row r="125" spans="4:48"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</row>
    <row r="126" spans="4:48">
      <c r="D126" s="10"/>
      <c r="E126" s="10" t="s">
        <v>173</v>
      </c>
      <c r="F126" s="10"/>
      <c r="G126" s="10"/>
      <c r="H126" s="10"/>
      <c r="I126" s="10"/>
      <c r="J126" s="10"/>
      <c r="K126" s="10"/>
      <c r="L126" s="94"/>
      <c r="M126" s="12" t="s">
        <v>174</v>
      </c>
      <c r="N126" s="10"/>
      <c r="O126" s="10"/>
      <c r="P126" s="10"/>
      <c r="Q126" s="10"/>
      <c r="R126" s="10"/>
      <c r="S126" s="10"/>
      <c r="T126" s="10"/>
      <c r="U126" s="10"/>
      <c r="V126" s="24"/>
      <c r="W126" s="10" t="s">
        <v>175</v>
      </c>
      <c r="X126" s="10"/>
      <c r="Y126" s="10"/>
      <c r="Z126" s="10"/>
      <c r="AA126" s="10"/>
      <c r="AB126" s="10"/>
      <c r="AC126" s="10"/>
      <c r="AD126" s="10"/>
      <c r="AE126" s="10"/>
      <c r="AF126" s="10"/>
      <c r="AG126" s="226" t="s">
        <v>176</v>
      </c>
      <c r="AH126" s="226"/>
      <c r="AI126" s="226"/>
      <c r="AJ126" s="226"/>
      <c r="AK126" s="226" t="s">
        <v>177</v>
      </c>
      <c r="AL126" s="226"/>
      <c r="AM126" s="10"/>
      <c r="AN126" s="226" t="s">
        <v>178</v>
      </c>
      <c r="AO126" s="226"/>
      <c r="AP126" s="226"/>
      <c r="AQ126" s="226"/>
      <c r="AR126" s="10"/>
      <c r="AS126" s="10"/>
      <c r="AT126" s="10"/>
      <c r="AU126" s="10"/>
      <c r="AV126" s="10"/>
    </row>
    <row r="127" spans="4:48" ht="3" customHeight="1"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</row>
    <row r="128" spans="4:48">
      <c r="D128" s="10"/>
      <c r="E128" s="10" t="s">
        <v>179</v>
      </c>
      <c r="F128" s="10"/>
      <c r="G128" s="10"/>
      <c r="H128" s="10"/>
      <c r="I128" s="10"/>
      <c r="J128" s="10"/>
      <c r="K128" s="10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10"/>
      <c r="AC128" s="10"/>
      <c r="AD128" s="10"/>
      <c r="AE128" s="10"/>
      <c r="AF128" s="10"/>
      <c r="AG128" s="10"/>
      <c r="AH128" s="24"/>
      <c r="AI128" s="24"/>
      <c r="AJ128" s="10"/>
      <c r="AK128" s="24"/>
      <c r="AL128" s="24"/>
      <c r="AM128" s="10"/>
      <c r="AN128" s="24"/>
      <c r="AO128" s="24"/>
      <c r="AP128" s="24"/>
      <c r="AQ128" s="24"/>
      <c r="AR128" s="10"/>
      <c r="AS128" s="10"/>
      <c r="AT128" s="10"/>
      <c r="AU128" s="10"/>
      <c r="AV128" s="10"/>
    </row>
    <row r="129" spans="4:48" ht="3" customHeight="1"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</row>
    <row r="130" spans="4:48">
      <c r="D130" s="10"/>
      <c r="E130" s="10" t="s">
        <v>180</v>
      </c>
      <c r="F130" s="10"/>
      <c r="G130" s="10"/>
      <c r="H130" s="10"/>
      <c r="I130" s="10"/>
      <c r="J130" s="10"/>
      <c r="K130" s="10"/>
      <c r="L130" s="223"/>
      <c r="M130" s="224"/>
      <c r="N130" s="224"/>
      <c r="O130" s="224"/>
      <c r="P130" s="224"/>
      <c r="Q130" s="224"/>
      <c r="R130" s="224"/>
      <c r="S130" s="224"/>
      <c r="T130" s="224"/>
      <c r="U130" s="224"/>
      <c r="V130" s="224"/>
      <c r="W130" s="224"/>
      <c r="X130" s="224"/>
      <c r="Y130" s="224"/>
      <c r="Z130" s="224"/>
      <c r="AA130" s="225"/>
      <c r="AB130" s="10"/>
      <c r="AC130" s="10"/>
      <c r="AD130" s="10"/>
      <c r="AE130" s="10"/>
      <c r="AF130" s="10"/>
      <c r="AG130" s="10"/>
      <c r="AH130" s="214" t="s">
        <v>181</v>
      </c>
      <c r="AI130" s="215"/>
      <c r="AJ130" s="215"/>
      <c r="AK130" s="215"/>
      <c r="AL130" s="215"/>
      <c r="AM130" s="215"/>
      <c r="AN130" s="215"/>
      <c r="AO130" s="215"/>
      <c r="AP130" s="215"/>
      <c r="AQ130" s="215"/>
      <c r="AR130" s="215"/>
      <c r="AS130" s="215"/>
      <c r="AT130" s="215"/>
      <c r="AU130" s="216"/>
      <c r="AV130" s="10"/>
    </row>
    <row r="131" spans="4:48" ht="3" customHeight="1"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217"/>
      <c r="AI131" s="218"/>
      <c r="AJ131" s="218"/>
      <c r="AK131" s="218"/>
      <c r="AL131" s="218"/>
      <c r="AM131" s="218"/>
      <c r="AN131" s="218"/>
      <c r="AO131" s="218"/>
      <c r="AP131" s="218"/>
      <c r="AQ131" s="218"/>
      <c r="AR131" s="218"/>
      <c r="AS131" s="218"/>
      <c r="AT131" s="218"/>
      <c r="AU131" s="219"/>
      <c r="AV131" s="10"/>
    </row>
    <row r="132" spans="4:48">
      <c r="D132" s="10"/>
      <c r="E132" s="10" t="s">
        <v>182</v>
      </c>
      <c r="F132" s="10"/>
      <c r="G132" s="10"/>
      <c r="H132" s="10"/>
      <c r="I132" s="10"/>
      <c r="J132" s="10"/>
      <c r="K132" s="10"/>
      <c r="L132" s="223"/>
      <c r="M132" s="224"/>
      <c r="N132" s="224"/>
      <c r="O132" s="224"/>
      <c r="P132" s="224"/>
      <c r="Q132" s="224"/>
      <c r="R132" s="224"/>
      <c r="S132" s="224"/>
      <c r="T132" s="224"/>
      <c r="U132" s="224"/>
      <c r="V132" s="224"/>
      <c r="W132" s="224"/>
      <c r="X132" s="224"/>
      <c r="Y132" s="224"/>
      <c r="Z132" s="224"/>
      <c r="AA132" s="225"/>
      <c r="AB132" s="10"/>
      <c r="AC132" s="10"/>
      <c r="AD132" s="10"/>
      <c r="AE132" s="10"/>
      <c r="AF132" s="10"/>
      <c r="AG132" s="10"/>
      <c r="AH132" s="217"/>
      <c r="AI132" s="218"/>
      <c r="AJ132" s="218"/>
      <c r="AK132" s="218"/>
      <c r="AL132" s="218"/>
      <c r="AM132" s="218"/>
      <c r="AN132" s="218"/>
      <c r="AO132" s="218"/>
      <c r="AP132" s="218"/>
      <c r="AQ132" s="218"/>
      <c r="AR132" s="218"/>
      <c r="AS132" s="218"/>
      <c r="AT132" s="218"/>
      <c r="AU132" s="219"/>
      <c r="AV132" s="10"/>
    </row>
    <row r="133" spans="4:48"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217"/>
      <c r="AI133" s="218"/>
      <c r="AJ133" s="218"/>
      <c r="AK133" s="218"/>
      <c r="AL133" s="218"/>
      <c r="AM133" s="218"/>
      <c r="AN133" s="218"/>
      <c r="AO133" s="218"/>
      <c r="AP133" s="218"/>
      <c r="AQ133" s="218"/>
      <c r="AR133" s="218"/>
      <c r="AS133" s="218"/>
      <c r="AT133" s="218"/>
      <c r="AU133" s="219"/>
      <c r="AV133" s="10"/>
    </row>
    <row r="134" spans="4:48"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220"/>
      <c r="AI134" s="221"/>
      <c r="AJ134" s="221"/>
      <c r="AK134" s="221"/>
      <c r="AL134" s="221"/>
      <c r="AM134" s="221"/>
      <c r="AN134" s="221"/>
      <c r="AO134" s="221"/>
      <c r="AP134" s="221"/>
      <c r="AQ134" s="221"/>
      <c r="AR134" s="221"/>
      <c r="AS134" s="221"/>
      <c r="AT134" s="221"/>
      <c r="AU134" s="222"/>
      <c r="AV134" s="10"/>
    </row>
    <row r="135" spans="4:48"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</row>
  </sheetData>
  <mergeCells count="56">
    <mergeCell ref="AP4:AU4"/>
    <mergeCell ref="Q9:W9"/>
    <mergeCell ref="AC9:AG9"/>
    <mergeCell ref="Q26:W26"/>
    <mergeCell ref="AG26:AM26"/>
    <mergeCell ref="AP5:AU6"/>
    <mergeCell ref="AP34:AU34"/>
    <mergeCell ref="AP74:AU74"/>
    <mergeCell ref="AT81:AU81"/>
    <mergeCell ref="AT83:AU83"/>
    <mergeCell ref="H70:AG71"/>
    <mergeCell ref="H74:AG75"/>
    <mergeCell ref="H59:AG60"/>
    <mergeCell ref="H63:AG64"/>
    <mergeCell ref="AT110:AU110"/>
    <mergeCell ref="AT112:AU112"/>
    <mergeCell ref="AT114:AU114"/>
    <mergeCell ref="AT96:AU96"/>
    <mergeCell ref="AT98:AU98"/>
    <mergeCell ref="AT100:AU100"/>
    <mergeCell ref="AT102:AU102"/>
    <mergeCell ref="AT105:AU105"/>
    <mergeCell ref="AT85:AU85"/>
    <mergeCell ref="AT87:AU87"/>
    <mergeCell ref="AT89:AU89"/>
    <mergeCell ref="AT91:AU91"/>
    <mergeCell ref="AT93:AU93"/>
    <mergeCell ref="Q10:R12"/>
    <mergeCell ref="V10:W12"/>
    <mergeCell ref="F34:AG35"/>
    <mergeCell ref="H42:AG43"/>
    <mergeCell ref="H52:AG53"/>
    <mergeCell ref="Q28:W28"/>
    <mergeCell ref="S10:S12"/>
    <mergeCell ref="T10:T12"/>
    <mergeCell ref="U10:U12"/>
    <mergeCell ref="V14:V15"/>
    <mergeCell ref="W14:W15"/>
    <mergeCell ref="E14:F15"/>
    <mergeCell ref="G14:H15"/>
    <mergeCell ref="I14:J15"/>
    <mergeCell ref="K14:L15"/>
    <mergeCell ref="S14:U15"/>
    <mergeCell ref="Q14:Q15"/>
    <mergeCell ref="R14:R15"/>
    <mergeCell ref="F93:AG94"/>
    <mergeCell ref="G102:AG103"/>
    <mergeCell ref="F107:AG108"/>
    <mergeCell ref="F121:AU122"/>
    <mergeCell ref="AH130:AU134"/>
    <mergeCell ref="L130:AA130"/>
    <mergeCell ref="L132:AA132"/>
    <mergeCell ref="AT116:AU116"/>
    <mergeCell ref="AG126:AJ126"/>
    <mergeCell ref="AK126:AL126"/>
    <mergeCell ref="AN126:AQ126"/>
  </mergeCells>
  <hyperlinks>
    <hyperlink ref="F36" location="L6!A1" display="Jika &quot;Tidak&quot;, isilah Lampiran 6" xr:uid="{00000000-0004-0000-0100-000000000000}"/>
    <hyperlink ref="H57" location="L9!A1" display="Jika &quot;Ya&quot;, isilah Lampiran 9" xr:uid="{00000000-0004-0000-0100-000001000000}"/>
    <hyperlink ref="H61" location="L11A!A1" display="Jika &quot;Ya&quot;, isilah Lampiran 11A" xr:uid="{00000000-0004-0000-0100-000002000000}"/>
    <hyperlink ref="H50" location="L2!A1" display="Jika &quot;Ya&quot;, isilah Lampiran 2 Bagian B" xr:uid="{00000000-0004-0000-0100-000003000000}"/>
    <hyperlink ref="H54" location="L2!A1" display="Jika &quot;Ya&quot;, isilah Lampiran 2 Bagian B" xr:uid="{00000000-0004-0000-0100-000004000000}"/>
    <hyperlink ref="H76" location="L5!A1" display="Diisi dari Lampiran 5 (jika terdapat kelebihan PPh, silahkan mengajukan permohonan pengembalian pajak secara terpisah)" xr:uid="{00000000-0004-0000-0100-000005000000}"/>
  </hyperlink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D3:AV108"/>
  <sheetViews>
    <sheetView topLeftCell="B1" workbookViewId="0">
      <selection activeCell="B18" sqref="B18"/>
    </sheetView>
  </sheetViews>
  <sheetFormatPr defaultColWidth="9.1796875" defaultRowHeight="11.5"/>
  <cols>
    <col min="1" max="2" width="9.1796875" style="1"/>
    <col min="3" max="48" width="3.453125" style="1" customWidth="1"/>
    <col min="49" max="16384" width="9.1796875" style="1"/>
  </cols>
  <sheetData>
    <row r="3" spans="4:48">
      <c r="D3" s="3"/>
      <c r="E3" s="233" t="s">
        <v>9</v>
      </c>
      <c r="F3" s="233"/>
      <c r="G3" s="233"/>
      <c r="H3" s="233"/>
      <c r="I3" s="233"/>
      <c r="J3" s="233"/>
      <c r="K3" s="233"/>
      <c r="L3" s="17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92" t="s">
        <v>183</v>
      </c>
      <c r="AO3" s="192"/>
      <c r="AP3" s="192"/>
      <c r="AQ3" s="192"/>
      <c r="AR3" s="192"/>
      <c r="AS3" s="192"/>
      <c r="AT3" s="192"/>
      <c r="AU3" s="192"/>
      <c r="AV3" s="193"/>
    </row>
    <row r="4" spans="4:48" ht="18">
      <c r="D4" s="69"/>
      <c r="E4" s="234"/>
      <c r="F4" s="234"/>
      <c r="G4" s="234"/>
      <c r="H4" s="234"/>
      <c r="I4" s="234"/>
      <c r="J4" s="234"/>
      <c r="K4" s="234"/>
      <c r="L4" s="19"/>
      <c r="M4" s="20"/>
      <c r="N4" s="21" t="s">
        <v>1</v>
      </c>
      <c r="O4" s="20"/>
      <c r="P4" s="20"/>
      <c r="Q4" s="20"/>
      <c r="R4" s="20"/>
      <c r="S4" s="20"/>
      <c r="T4" s="20"/>
      <c r="U4" s="20"/>
      <c r="V4" s="20"/>
      <c r="W4" s="20"/>
      <c r="X4" s="20"/>
      <c r="Y4" s="29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194"/>
      <c r="AO4" s="194"/>
      <c r="AP4" s="194"/>
      <c r="AQ4" s="194"/>
      <c r="AR4" s="194"/>
      <c r="AS4" s="194"/>
      <c r="AT4" s="194"/>
      <c r="AU4" s="194"/>
      <c r="AV4" s="195"/>
    </row>
    <row r="5" spans="4:48" ht="14">
      <c r="D5" s="5" t="s">
        <v>184</v>
      </c>
      <c r="E5" s="70"/>
      <c r="F5" s="71"/>
      <c r="G5" s="71"/>
      <c r="H5" s="71"/>
      <c r="I5" s="71"/>
      <c r="J5" s="71"/>
      <c r="K5" s="71"/>
      <c r="L5" s="71"/>
      <c r="M5" s="20"/>
      <c r="N5" s="22" t="s">
        <v>185</v>
      </c>
      <c r="O5" s="20"/>
      <c r="P5" s="20"/>
      <c r="Q5" s="20"/>
      <c r="R5" s="20"/>
      <c r="S5" s="20"/>
      <c r="T5" s="20"/>
      <c r="U5" s="20"/>
      <c r="V5" s="20"/>
      <c r="W5" s="20"/>
      <c r="X5" s="20"/>
      <c r="Y5" s="29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194"/>
      <c r="AO5" s="194"/>
      <c r="AP5" s="194"/>
      <c r="AQ5" s="194"/>
      <c r="AR5" s="194"/>
      <c r="AS5" s="194"/>
      <c r="AT5" s="194"/>
      <c r="AU5" s="194"/>
      <c r="AV5" s="195"/>
    </row>
    <row r="6" spans="4:48" ht="3" customHeight="1">
      <c r="D6" s="227" t="s">
        <v>186</v>
      </c>
      <c r="E6" s="228"/>
      <c r="F6" s="228"/>
      <c r="G6" s="228"/>
      <c r="H6" s="228"/>
      <c r="I6" s="228"/>
      <c r="J6" s="228"/>
      <c r="K6" s="228"/>
      <c r="L6" s="228"/>
      <c r="M6" s="20"/>
      <c r="N6" s="23"/>
      <c r="O6" s="20"/>
      <c r="P6" s="20"/>
      <c r="Q6" s="20"/>
      <c r="R6" s="20"/>
      <c r="S6" s="20"/>
      <c r="T6" s="20"/>
      <c r="U6" s="20"/>
      <c r="V6" s="20"/>
      <c r="W6" s="20"/>
      <c r="X6" s="20"/>
      <c r="Y6" s="29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30"/>
      <c r="AQ6" s="30"/>
      <c r="AR6" s="30"/>
      <c r="AS6" s="30"/>
      <c r="AT6" s="30"/>
      <c r="AU6" s="30"/>
      <c r="AV6" s="31"/>
    </row>
    <row r="7" spans="4:48">
      <c r="D7" s="227"/>
      <c r="E7" s="228"/>
      <c r="F7" s="228"/>
      <c r="G7" s="228"/>
      <c r="H7" s="228"/>
      <c r="I7" s="228"/>
      <c r="J7" s="228"/>
      <c r="K7" s="228"/>
      <c r="L7" s="228"/>
      <c r="M7" s="20"/>
      <c r="N7" s="23" t="s">
        <v>187</v>
      </c>
      <c r="O7" s="20"/>
      <c r="P7" s="20"/>
      <c r="Q7" s="20"/>
      <c r="R7" s="20"/>
      <c r="S7" s="20"/>
      <c r="T7" s="20"/>
      <c r="U7" s="20"/>
      <c r="V7" s="20"/>
      <c r="W7" s="20"/>
      <c r="X7" s="20"/>
      <c r="Y7" s="29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186" t="s">
        <v>188</v>
      </c>
      <c r="AO7" s="186"/>
      <c r="AP7" s="186"/>
      <c r="AQ7" s="186"/>
      <c r="AR7" s="186"/>
      <c r="AS7" s="186"/>
      <c r="AT7" s="186"/>
      <c r="AU7" s="186"/>
      <c r="AV7" s="187"/>
    </row>
    <row r="8" spans="4:48" ht="14">
      <c r="D8" s="227"/>
      <c r="E8" s="228"/>
      <c r="F8" s="228"/>
      <c r="G8" s="228"/>
      <c r="H8" s="228"/>
      <c r="I8" s="228"/>
      <c r="J8" s="228"/>
      <c r="K8" s="228"/>
      <c r="L8" s="228"/>
      <c r="M8" s="20"/>
      <c r="N8" s="24"/>
      <c r="O8" s="23" t="s">
        <v>189</v>
      </c>
      <c r="P8" s="20"/>
      <c r="Q8" s="20"/>
      <c r="R8" s="20"/>
      <c r="S8" s="20"/>
      <c r="T8" s="20"/>
      <c r="U8" s="20"/>
      <c r="V8" s="20"/>
      <c r="W8" s="20"/>
      <c r="X8" s="20"/>
      <c r="Y8" s="29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8">
        <f>INDUK1!E14</f>
        <v>2</v>
      </c>
      <c r="AQ8" s="28">
        <f>INDUK1!G14</f>
        <v>0</v>
      </c>
      <c r="AR8" s="28">
        <f>INDUK1!I14</f>
        <v>2</v>
      </c>
      <c r="AS8" s="28">
        <f>INDUK1!K14</f>
        <v>5</v>
      </c>
      <c r="AT8" s="30"/>
      <c r="AU8" s="30"/>
      <c r="AV8" s="31"/>
    </row>
    <row r="9" spans="4:48" ht="3" customHeight="1">
      <c r="D9" s="227"/>
      <c r="E9" s="228"/>
      <c r="F9" s="228"/>
      <c r="G9" s="228"/>
      <c r="H9" s="228"/>
      <c r="I9" s="228"/>
      <c r="J9" s="228"/>
      <c r="K9" s="228"/>
      <c r="L9" s="228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9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30"/>
      <c r="AQ9" s="30"/>
      <c r="AR9" s="30"/>
      <c r="AS9" s="30"/>
      <c r="AT9" s="30"/>
      <c r="AU9" s="30"/>
      <c r="AV9" s="31"/>
    </row>
    <row r="10" spans="4:48" ht="14">
      <c r="D10" s="227"/>
      <c r="E10" s="228"/>
      <c r="F10" s="228"/>
      <c r="G10" s="228"/>
      <c r="H10" s="228"/>
      <c r="I10" s="228"/>
      <c r="J10" s="228"/>
      <c r="K10" s="228"/>
      <c r="L10" s="228"/>
      <c r="M10" s="20"/>
      <c r="N10" s="25"/>
      <c r="O10" s="25" t="s">
        <v>28</v>
      </c>
      <c r="P10" s="20"/>
      <c r="Q10" s="20"/>
      <c r="R10" s="28">
        <f>INDUK1!AF21</f>
        <v>0</v>
      </c>
      <c r="S10" s="28">
        <f>INDUK1!AG21</f>
        <v>0</v>
      </c>
      <c r="T10" s="28">
        <f>INDUK1!AH21</f>
        <v>0</v>
      </c>
      <c r="U10" s="28">
        <f>INDUK1!AI21</f>
        <v>0</v>
      </c>
      <c r="V10" s="28">
        <f>INDUK1!AJ21</f>
        <v>0</v>
      </c>
      <c r="W10" s="28">
        <f>INDUK1!AK21</f>
        <v>0</v>
      </c>
      <c r="X10" s="28">
        <f>INDUK1!AL21</f>
        <v>0</v>
      </c>
      <c r="Y10" s="28">
        <f>INDUK1!AM21</f>
        <v>0</v>
      </c>
      <c r="Z10" s="28">
        <f>INDUK1!AN21</f>
        <v>0</v>
      </c>
      <c r="AA10" s="28">
        <f>INDUK1!AO21</f>
        <v>0</v>
      </c>
      <c r="AB10" s="28">
        <f>INDUK1!AP21</f>
        <v>0</v>
      </c>
      <c r="AC10" s="28">
        <f>INDUK1!AQ21</f>
        <v>0</v>
      </c>
      <c r="AD10" s="28">
        <f>INDUK1!AR21</f>
        <v>0</v>
      </c>
      <c r="AE10" s="28">
        <f>INDUK1!AS21</f>
        <v>0</v>
      </c>
      <c r="AF10" s="28">
        <f>INDUK1!AT21</f>
        <v>0</v>
      </c>
      <c r="AG10" s="28">
        <f>INDUK1!AU21</f>
        <v>0</v>
      </c>
      <c r="AH10" s="20"/>
      <c r="AI10" s="20"/>
      <c r="AJ10" s="20"/>
      <c r="AK10" s="20"/>
      <c r="AL10" s="20"/>
      <c r="AM10" s="20"/>
      <c r="AN10" s="20"/>
      <c r="AO10" s="20"/>
      <c r="AP10" s="30"/>
      <c r="AQ10" s="30"/>
      <c r="AR10" s="30"/>
      <c r="AS10" s="30"/>
      <c r="AT10" s="30"/>
      <c r="AU10" s="30"/>
      <c r="AV10" s="31"/>
    </row>
    <row r="11" spans="4:48">
      <c r="D11" s="229"/>
      <c r="E11" s="230"/>
      <c r="F11" s="230"/>
      <c r="G11" s="230"/>
      <c r="H11" s="230"/>
      <c r="I11" s="230"/>
      <c r="J11" s="230"/>
      <c r="K11" s="230"/>
      <c r="L11" s="230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32"/>
    </row>
    <row r="12" spans="4:48" ht="3" customHeight="1"/>
    <row r="13" spans="4:48">
      <c r="D13" s="7" t="s">
        <v>25</v>
      </c>
      <c r="E13" s="8" t="s">
        <v>190</v>
      </c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</row>
    <row r="14" spans="4:48" ht="3" customHeight="1"/>
    <row r="15" spans="4:48">
      <c r="D15" s="132" t="s">
        <v>191</v>
      </c>
      <c r="E15" s="132"/>
      <c r="F15" s="151" t="s">
        <v>192</v>
      </c>
      <c r="G15" s="151"/>
      <c r="H15" s="151"/>
      <c r="I15" s="151"/>
      <c r="J15" s="151"/>
      <c r="K15" s="151"/>
      <c r="L15" s="151"/>
      <c r="M15" s="151"/>
      <c r="N15" s="151"/>
      <c r="O15" s="151"/>
      <c r="P15" s="132" t="s">
        <v>193</v>
      </c>
      <c r="Q15" s="132"/>
      <c r="R15" s="132"/>
      <c r="S15" s="132"/>
      <c r="T15" s="132" t="s">
        <v>194</v>
      </c>
      <c r="U15" s="132"/>
      <c r="V15" s="132"/>
      <c r="W15" s="132"/>
      <c r="X15" s="132" t="s">
        <v>195</v>
      </c>
      <c r="Y15" s="132"/>
      <c r="Z15" s="132"/>
      <c r="AA15" s="132"/>
      <c r="AB15" s="132" t="s">
        <v>196</v>
      </c>
      <c r="AC15" s="132"/>
      <c r="AD15" s="132"/>
      <c r="AE15" s="132"/>
      <c r="AF15" s="132" t="s">
        <v>197</v>
      </c>
      <c r="AG15" s="132"/>
      <c r="AH15" s="132"/>
      <c r="AI15" s="132"/>
      <c r="AJ15" s="132" t="s">
        <v>198</v>
      </c>
      <c r="AK15" s="132"/>
      <c r="AL15" s="132"/>
      <c r="AM15" s="132"/>
      <c r="AN15" s="132" t="s">
        <v>199</v>
      </c>
      <c r="AO15" s="132"/>
      <c r="AP15" s="132"/>
      <c r="AQ15" s="132"/>
      <c r="AR15" s="132" t="s">
        <v>200</v>
      </c>
      <c r="AS15" s="132"/>
      <c r="AT15" s="132"/>
      <c r="AU15" s="132"/>
      <c r="AV15" s="132"/>
    </row>
    <row r="16" spans="4:48">
      <c r="D16" s="132"/>
      <c r="E16" s="132"/>
      <c r="F16" s="151"/>
      <c r="G16" s="151"/>
      <c r="H16" s="151"/>
      <c r="I16" s="151"/>
      <c r="J16" s="151"/>
      <c r="K16" s="151"/>
      <c r="L16" s="151"/>
      <c r="M16" s="151"/>
      <c r="N16" s="151"/>
      <c r="O16" s="151"/>
      <c r="P16" s="132"/>
      <c r="Q16" s="132"/>
      <c r="R16" s="132"/>
      <c r="S16" s="132"/>
      <c r="T16" s="132"/>
      <c r="U16" s="132"/>
      <c r="V16" s="132"/>
      <c r="W16" s="132"/>
      <c r="X16" s="132"/>
      <c r="Y16" s="132"/>
      <c r="Z16" s="132"/>
      <c r="AA16" s="132"/>
      <c r="AB16" s="132"/>
      <c r="AC16" s="132"/>
      <c r="AD16" s="132"/>
      <c r="AE16" s="132"/>
      <c r="AF16" s="132"/>
      <c r="AG16" s="132"/>
      <c r="AH16" s="132"/>
      <c r="AI16" s="132"/>
      <c r="AJ16" s="132"/>
      <c r="AK16" s="132"/>
      <c r="AL16" s="132"/>
      <c r="AM16" s="132"/>
      <c r="AN16" s="132"/>
      <c r="AO16" s="132"/>
      <c r="AP16" s="132"/>
      <c r="AQ16" s="132"/>
      <c r="AR16" s="132"/>
      <c r="AS16" s="132"/>
      <c r="AT16" s="132"/>
      <c r="AU16" s="132"/>
      <c r="AV16" s="132"/>
    </row>
    <row r="17" spans="4:48">
      <c r="D17" s="132"/>
      <c r="E17" s="132"/>
      <c r="F17" s="151"/>
      <c r="G17" s="151"/>
      <c r="H17" s="151"/>
      <c r="I17" s="151"/>
      <c r="J17" s="151"/>
      <c r="K17" s="151"/>
      <c r="L17" s="151"/>
      <c r="M17" s="151"/>
      <c r="N17" s="151"/>
      <c r="O17" s="151"/>
      <c r="P17" s="132"/>
      <c r="Q17" s="132"/>
      <c r="R17" s="132"/>
      <c r="S17" s="132"/>
      <c r="T17" s="132"/>
      <c r="U17" s="132"/>
      <c r="V17" s="132"/>
      <c r="W17" s="132"/>
      <c r="X17" s="132"/>
      <c r="Y17" s="132"/>
      <c r="Z17" s="132"/>
      <c r="AA17" s="132"/>
      <c r="AB17" s="132"/>
      <c r="AC17" s="132"/>
      <c r="AD17" s="132"/>
      <c r="AE17" s="132"/>
      <c r="AF17" s="132"/>
      <c r="AG17" s="132"/>
      <c r="AH17" s="132"/>
      <c r="AI17" s="132"/>
      <c r="AJ17" s="132"/>
      <c r="AK17" s="132"/>
      <c r="AL17" s="132"/>
      <c r="AM17" s="132"/>
      <c r="AN17" s="132"/>
      <c r="AO17" s="132"/>
      <c r="AP17" s="132"/>
      <c r="AQ17" s="132"/>
      <c r="AR17" s="132"/>
      <c r="AS17" s="132"/>
      <c r="AT17" s="132"/>
      <c r="AU17" s="132"/>
      <c r="AV17" s="132"/>
    </row>
    <row r="18" spans="4:48">
      <c r="D18" s="162" t="s">
        <v>201</v>
      </c>
      <c r="E18" s="161"/>
      <c r="F18" s="162" t="s">
        <v>202</v>
      </c>
      <c r="G18" s="161"/>
      <c r="H18" s="161"/>
      <c r="I18" s="161"/>
      <c r="J18" s="161"/>
      <c r="K18" s="161"/>
      <c r="L18" s="161"/>
      <c r="M18" s="161"/>
      <c r="N18" s="161"/>
      <c r="O18" s="161"/>
      <c r="P18" s="162" t="s">
        <v>203</v>
      </c>
      <c r="Q18" s="161"/>
      <c r="R18" s="161"/>
      <c r="S18" s="161"/>
      <c r="T18" s="162" t="s">
        <v>204</v>
      </c>
      <c r="U18" s="161"/>
      <c r="V18" s="161"/>
      <c r="W18" s="161"/>
      <c r="X18" s="162" t="s">
        <v>205</v>
      </c>
      <c r="Y18" s="161"/>
      <c r="Z18" s="161"/>
      <c r="AA18" s="161"/>
      <c r="AB18" s="161" t="s">
        <v>206</v>
      </c>
      <c r="AC18" s="161"/>
      <c r="AD18" s="161"/>
      <c r="AE18" s="161"/>
      <c r="AF18" s="162" t="s">
        <v>207</v>
      </c>
      <c r="AG18" s="161"/>
      <c r="AH18" s="161"/>
      <c r="AI18" s="161"/>
      <c r="AJ18" s="162" t="s">
        <v>208</v>
      </c>
      <c r="AK18" s="161"/>
      <c r="AL18" s="161"/>
      <c r="AM18" s="161"/>
      <c r="AN18" s="162" t="s">
        <v>209</v>
      </c>
      <c r="AO18" s="161"/>
      <c r="AP18" s="161"/>
      <c r="AQ18" s="161"/>
      <c r="AR18" s="162" t="s">
        <v>210</v>
      </c>
      <c r="AS18" s="161"/>
      <c r="AT18" s="161"/>
      <c r="AU18" s="161"/>
      <c r="AV18" s="161"/>
    </row>
    <row r="19" spans="4:48">
      <c r="D19" s="237"/>
      <c r="E19" s="237"/>
      <c r="F19" s="236" t="s">
        <v>211</v>
      </c>
      <c r="G19" s="236"/>
      <c r="H19" s="236"/>
      <c r="I19" s="236"/>
      <c r="J19" s="236"/>
      <c r="K19" s="236"/>
      <c r="L19" s="236"/>
      <c r="M19" s="236"/>
      <c r="N19" s="236"/>
      <c r="O19" s="236"/>
      <c r="P19" s="238"/>
      <c r="Q19" s="238"/>
      <c r="R19" s="238"/>
      <c r="S19" s="238"/>
      <c r="T19" s="238"/>
      <c r="U19" s="238"/>
      <c r="V19" s="238"/>
      <c r="W19" s="238"/>
      <c r="X19" s="238"/>
      <c r="Y19" s="238"/>
      <c r="Z19" s="238"/>
      <c r="AA19" s="238"/>
      <c r="AB19" s="238"/>
      <c r="AC19" s="238"/>
      <c r="AD19" s="238"/>
      <c r="AE19" s="238"/>
      <c r="AF19" s="238"/>
      <c r="AG19" s="238"/>
      <c r="AH19" s="238"/>
      <c r="AI19" s="238"/>
      <c r="AJ19" s="238"/>
      <c r="AK19" s="238"/>
      <c r="AL19" s="238"/>
      <c r="AM19" s="238"/>
      <c r="AN19" s="238"/>
      <c r="AO19" s="238"/>
      <c r="AP19" s="238"/>
      <c r="AQ19" s="238"/>
      <c r="AR19" s="238"/>
      <c r="AS19" s="238"/>
      <c r="AT19" s="238"/>
      <c r="AU19" s="238"/>
      <c r="AV19" s="238"/>
    </row>
    <row r="20" spans="4:48">
      <c r="D20" s="172">
        <v>4002</v>
      </c>
      <c r="E20" s="172"/>
      <c r="F20" s="245" t="s">
        <v>212</v>
      </c>
      <c r="G20" s="245"/>
      <c r="H20" s="245"/>
      <c r="I20" s="245"/>
      <c r="J20" s="245"/>
      <c r="K20" s="245"/>
      <c r="L20" s="245"/>
      <c r="M20" s="245"/>
      <c r="N20" s="245"/>
      <c r="O20" s="245"/>
      <c r="P20" s="243"/>
      <c r="Q20" s="243"/>
      <c r="R20" s="243"/>
      <c r="S20" s="243"/>
      <c r="T20" s="243"/>
      <c r="U20" s="243"/>
      <c r="V20" s="243"/>
      <c r="W20" s="243"/>
      <c r="X20" s="243"/>
      <c r="Y20" s="243"/>
      <c r="Z20" s="243"/>
      <c r="AA20" s="243"/>
      <c r="AB20" s="243"/>
      <c r="AC20" s="243"/>
      <c r="AD20" s="243"/>
      <c r="AE20" s="243"/>
      <c r="AF20" s="243"/>
      <c r="AG20" s="243"/>
      <c r="AH20" s="243"/>
      <c r="AI20" s="243"/>
      <c r="AJ20" s="243"/>
      <c r="AK20" s="243"/>
      <c r="AL20" s="243"/>
      <c r="AM20" s="243"/>
      <c r="AN20" s="243"/>
      <c r="AO20" s="243"/>
      <c r="AP20" s="243"/>
      <c r="AQ20" s="243"/>
      <c r="AR20" s="243"/>
      <c r="AS20" s="243"/>
      <c r="AT20" s="243"/>
      <c r="AU20" s="243"/>
      <c r="AV20" s="243"/>
    </row>
    <row r="21" spans="4:48">
      <c r="D21" s="172">
        <v>4003</v>
      </c>
      <c r="E21" s="172"/>
      <c r="F21" s="245" t="s">
        <v>213</v>
      </c>
      <c r="G21" s="245"/>
      <c r="H21" s="245"/>
      <c r="I21" s="245"/>
      <c r="J21" s="245"/>
      <c r="K21" s="245"/>
      <c r="L21" s="245"/>
      <c r="M21" s="245"/>
      <c r="N21" s="245"/>
      <c r="O21" s="245"/>
      <c r="P21" s="243"/>
      <c r="Q21" s="243"/>
      <c r="R21" s="243"/>
      <c r="S21" s="243"/>
      <c r="T21" s="243"/>
      <c r="U21" s="243"/>
      <c r="V21" s="243"/>
      <c r="W21" s="243"/>
      <c r="X21" s="243"/>
      <c r="Y21" s="243"/>
      <c r="Z21" s="243"/>
      <c r="AA21" s="243"/>
      <c r="AB21" s="243"/>
      <c r="AC21" s="243"/>
      <c r="AD21" s="243"/>
      <c r="AE21" s="243"/>
      <c r="AF21" s="243"/>
      <c r="AG21" s="243"/>
      <c r="AH21" s="243"/>
      <c r="AI21" s="243"/>
      <c r="AJ21" s="243"/>
      <c r="AK21" s="243"/>
      <c r="AL21" s="243"/>
      <c r="AM21" s="243"/>
      <c r="AN21" s="243"/>
      <c r="AO21" s="243"/>
      <c r="AP21" s="243"/>
      <c r="AQ21" s="243"/>
      <c r="AR21" s="243"/>
      <c r="AS21" s="243"/>
      <c r="AT21" s="243"/>
      <c r="AU21" s="243"/>
      <c r="AV21" s="243"/>
    </row>
    <row r="22" spans="4:48">
      <c r="D22" s="172">
        <v>4004</v>
      </c>
      <c r="E22" s="172"/>
      <c r="F22" s="245" t="s">
        <v>214</v>
      </c>
      <c r="G22" s="245"/>
      <c r="H22" s="245"/>
      <c r="I22" s="245"/>
      <c r="J22" s="245"/>
      <c r="K22" s="245"/>
      <c r="L22" s="245"/>
      <c r="M22" s="245"/>
      <c r="N22" s="245"/>
      <c r="O22" s="245"/>
      <c r="P22" s="243"/>
      <c r="Q22" s="243"/>
      <c r="R22" s="243"/>
      <c r="S22" s="243"/>
      <c r="T22" s="238"/>
      <c r="U22" s="238"/>
      <c r="V22" s="238"/>
      <c r="W22" s="238"/>
      <c r="X22" s="238"/>
      <c r="Y22" s="238"/>
      <c r="Z22" s="238"/>
      <c r="AA22" s="238"/>
      <c r="AB22" s="243"/>
      <c r="AC22" s="243"/>
      <c r="AD22" s="243"/>
      <c r="AE22" s="243"/>
      <c r="AF22" s="238"/>
      <c r="AG22" s="238"/>
      <c r="AH22" s="238"/>
      <c r="AI22" s="238"/>
      <c r="AJ22" s="238"/>
      <c r="AK22" s="238"/>
      <c r="AL22" s="238"/>
      <c r="AM22" s="238"/>
      <c r="AN22" s="238"/>
      <c r="AO22" s="238"/>
      <c r="AP22" s="238"/>
      <c r="AQ22" s="238"/>
      <c r="AR22" s="243"/>
      <c r="AS22" s="243"/>
      <c r="AT22" s="243"/>
      <c r="AU22" s="243"/>
      <c r="AV22" s="243"/>
    </row>
    <row r="23" spans="4:48">
      <c r="D23" s="237"/>
      <c r="E23" s="237"/>
      <c r="F23" s="236" t="s">
        <v>215</v>
      </c>
      <c r="G23" s="236"/>
      <c r="H23" s="236"/>
      <c r="I23" s="236"/>
      <c r="J23" s="236"/>
      <c r="K23" s="236"/>
      <c r="L23" s="236"/>
      <c r="M23" s="236"/>
      <c r="N23" s="236"/>
      <c r="O23" s="236"/>
      <c r="P23" s="238"/>
      <c r="Q23" s="238"/>
      <c r="R23" s="238"/>
      <c r="S23" s="238"/>
      <c r="T23" s="238"/>
      <c r="U23" s="238"/>
      <c r="V23" s="238"/>
      <c r="W23" s="238"/>
      <c r="X23" s="238"/>
      <c r="Y23" s="238"/>
      <c r="Z23" s="238"/>
      <c r="AA23" s="238"/>
      <c r="AB23" s="238"/>
      <c r="AC23" s="238"/>
      <c r="AD23" s="238"/>
      <c r="AE23" s="238"/>
      <c r="AF23" s="238"/>
      <c r="AG23" s="238"/>
      <c r="AH23" s="238"/>
      <c r="AI23" s="238"/>
      <c r="AJ23" s="238"/>
      <c r="AK23" s="238"/>
      <c r="AL23" s="238"/>
      <c r="AM23" s="238"/>
      <c r="AN23" s="238"/>
      <c r="AO23" s="238"/>
      <c r="AP23" s="238"/>
      <c r="AQ23" s="238"/>
      <c r="AR23" s="238"/>
      <c r="AS23" s="238"/>
      <c r="AT23" s="238"/>
      <c r="AU23" s="238"/>
      <c r="AV23" s="238"/>
    </row>
    <row r="24" spans="4:48">
      <c r="D24" s="172">
        <v>4011</v>
      </c>
      <c r="E24" s="172"/>
      <c r="F24" s="74"/>
      <c r="G24" s="75" t="s">
        <v>216</v>
      </c>
      <c r="H24" s="75"/>
      <c r="I24" s="75"/>
      <c r="J24" s="75"/>
      <c r="K24" s="75"/>
      <c r="L24" s="75"/>
      <c r="M24" s="75"/>
      <c r="N24" s="75"/>
      <c r="O24" s="79"/>
      <c r="P24" s="243"/>
      <c r="Q24" s="243"/>
      <c r="R24" s="243"/>
      <c r="S24" s="243"/>
      <c r="T24" s="238"/>
      <c r="U24" s="238"/>
      <c r="V24" s="238"/>
      <c r="W24" s="238"/>
      <c r="X24" s="238"/>
      <c r="Y24" s="238"/>
      <c r="Z24" s="238"/>
      <c r="AA24" s="238"/>
      <c r="AB24" s="243"/>
      <c r="AC24" s="243"/>
      <c r="AD24" s="243"/>
      <c r="AE24" s="243"/>
      <c r="AF24" s="243"/>
      <c r="AG24" s="243"/>
      <c r="AH24" s="243"/>
      <c r="AI24" s="243"/>
      <c r="AJ24" s="243"/>
      <c r="AK24" s="243"/>
      <c r="AL24" s="243"/>
      <c r="AM24" s="243"/>
      <c r="AN24" s="243"/>
      <c r="AO24" s="243"/>
      <c r="AP24" s="243"/>
      <c r="AQ24" s="243"/>
      <c r="AR24" s="243"/>
      <c r="AS24" s="243"/>
      <c r="AT24" s="243"/>
      <c r="AU24" s="243"/>
      <c r="AV24" s="243"/>
    </row>
    <row r="25" spans="4:48">
      <c r="D25" s="172">
        <v>4012</v>
      </c>
      <c r="E25" s="172"/>
      <c r="F25" s="74"/>
      <c r="G25" s="75" t="s">
        <v>217</v>
      </c>
      <c r="H25" s="75"/>
      <c r="I25" s="75"/>
      <c r="J25" s="75"/>
      <c r="K25" s="75"/>
      <c r="L25" s="75"/>
      <c r="M25" s="75"/>
      <c r="N25" s="75"/>
      <c r="O25" s="79"/>
      <c r="P25" s="243"/>
      <c r="Q25" s="243"/>
      <c r="R25" s="243"/>
      <c r="S25" s="243"/>
      <c r="T25" s="238"/>
      <c r="U25" s="238"/>
      <c r="V25" s="238"/>
      <c r="W25" s="238"/>
      <c r="X25" s="238"/>
      <c r="Y25" s="238"/>
      <c r="Z25" s="238"/>
      <c r="AA25" s="238"/>
      <c r="AB25" s="243"/>
      <c r="AC25" s="243"/>
      <c r="AD25" s="243"/>
      <c r="AE25" s="243"/>
      <c r="AF25" s="243"/>
      <c r="AG25" s="243"/>
      <c r="AH25" s="243"/>
      <c r="AI25" s="243"/>
      <c r="AJ25" s="243"/>
      <c r="AK25" s="243"/>
      <c r="AL25" s="243"/>
      <c r="AM25" s="243"/>
      <c r="AN25" s="243"/>
      <c r="AO25" s="243"/>
      <c r="AP25" s="243"/>
      <c r="AQ25" s="243"/>
      <c r="AR25" s="243"/>
      <c r="AS25" s="243"/>
      <c r="AT25" s="243"/>
      <c r="AU25" s="243"/>
      <c r="AV25" s="243"/>
    </row>
    <row r="26" spans="4:48">
      <c r="D26" s="172">
        <v>4013</v>
      </c>
      <c r="E26" s="172"/>
      <c r="F26" s="74"/>
      <c r="G26" s="75" t="s">
        <v>218</v>
      </c>
      <c r="H26" s="75"/>
      <c r="I26" s="75"/>
      <c r="J26" s="75"/>
      <c r="K26" s="75"/>
      <c r="L26" s="75"/>
      <c r="M26" s="75"/>
      <c r="N26" s="75"/>
      <c r="O26" s="79"/>
      <c r="P26" s="243"/>
      <c r="Q26" s="243"/>
      <c r="R26" s="243"/>
      <c r="S26" s="243"/>
      <c r="T26" s="238"/>
      <c r="U26" s="238"/>
      <c r="V26" s="238"/>
      <c r="W26" s="238"/>
      <c r="X26" s="238"/>
      <c r="Y26" s="238"/>
      <c r="Z26" s="238"/>
      <c r="AA26" s="238"/>
      <c r="AB26" s="243"/>
      <c r="AC26" s="243"/>
      <c r="AD26" s="243"/>
      <c r="AE26" s="243"/>
      <c r="AF26" s="243"/>
      <c r="AG26" s="243"/>
      <c r="AH26" s="243"/>
      <c r="AI26" s="243"/>
      <c r="AJ26" s="243"/>
      <c r="AK26" s="243"/>
      <c r="AL26" s="243"/>
      <c r="AM26" s="243"/>
      <c r="AN26" s="243"/>
      <c r="AO26" s="243"/>
      <c r="AP26" s="243"/>
      <c r="AQ26" s="243"/>
      <c r="AR26" s="243"/>
      <c r="AS26" s="243"/>
      <c r="AT26" s="243"/>
      <c r="AU26" s="243"/>
      <c r="AV26" s="243"/>
    </row>
    <row r="27" spans="4:48">
      <c r="D27" s="172">
        <v>4020</v>
      </c>
      <c r="E27" s="172"/>
      <c r="F27" s="245" t="s">
        <v>219</v>
      </c>
      <c r="G27" s="245"/>
      <c r="H27" s="245"/>
      <c r="I27" s="245"/>
      <c r="J27" s="245"/>
      <c r="K27" s="245"/>
      <c r="L27" s="245"/>
      <c r="M27" s="245"/>
      <c r="N27" s="245"/>
      <c r="O27" s="245"/>
      <c r="P27" s="243"/>
      <c r="Q27" s="243"/>
      <c r="R27" s="243"/>
      <c r="S27" s="243"/>
      <c r="T27" s="238"/>
      <c r="U27" s="238"/>
      <c r="V27" s="238"/>
      <c r="W27" s="238"/>
      <c r="X27" s="238"/>
      <c r="Y27" s="238"/>
      <c r="Z27" s="238"/>
      <c r="AA27" s="238"/>
      <c r="AB27" s="243"/>
      <c r="AC27" s="243"/>
      <c r="AD27" s="243"/>
      <c r="AE27" s="243"/>
      <c r="AF27" s="238"/>
      <c r="AG27" s="238"/>
      <c r="AH27" s="238"/>
      <c r="AI27" s="238"/>
      <c r="AJ27" s="238"/>
      <c r="AK27" s="238"/>
      <c r="AL27" s="238"/>
      <c r="AM27" s="238"/>
      <c r="AN27" s="238"/>
      <c r="AO27" s="238"/>
      <c r="AP27" s="238"/>
      <c r="AQ27" s="238"/>
      <c r="AR27" s="243"/>
      <c r="AS27" s="243"/>
      <c r="AT27" s="243"/>
      <c r="AU27" s="243"/>
      <c r="AV27" s="243"/>
    </row>
    <row r="28" spans="4:48">
      <c r="D28" s="237"/>
      <c r="E28" s="237"/>
      <c r="F28" s="236" t="s">
        <v>220</v>
      </c>
      <c r="G28" s="236"/>
      <c r="H28" s="236"/>
      <c r="I28" s="236"/>
      <c r="J28" s="236"/>
      <c r="K28" s="236"/>
      <c r="L28" s="236"/>
      <c r="M28" s="236"/>
      <c r="N28" s="236"/>
      <c r="O28" s="236"/>
      <c r="P28" s="238"/>
      <c r="Q28" s="238"/>
      <c r="R28" s="238"/>
      <c r="S28" s="238"/>
      <c r="T28" s="238"/>
      <c r="U28" s="238"/>
      <c r="V28" s="238"/>
      <c r="W28" s="238"/>
      <c r="X28" s="238"/>
      <c r="Y28" s="238"/>
      <c r="Z28" s="238"/>
      <c r="AA28" s="238"/>
      <c r="AB28" s="238"/>
      <c r="AC28" s="238"/>
      <c r="AD28" s="238"/>
      <c r="AE28" s="238"/>
      <c r="AF28" s="238"/>
      <c r="AG28" s="238"/>
      <c r="AH28" s="238"/>
      <c r="AI28" s="238"/>
      <c r="AJ28" s="238"/>
      <c r="AK28" s="238"/>
      <c r="AL28" s="238"/>
      <c r="AM28" s="238"/>
      <c r="AN28" s="238"/>
      <c r="AO28" s="238"/>
      <c r="AP28" s="238"/>
      <c r="AQ28" s="238"/>
      <c r="AR28" s="238"/>
      <c r="AS28" s="238"/>
      <c r="AT28" s="238"/>
      <c r="AU28" s="238"/>
      <c r="AV28" s="238"/>
    </row>
    <row r="29" spans="4:48">
      <c r="D29" s="172">
        <v>5001</v>
      </c>
      <c r="E29" s="172"/>
      <c r="F29" s="74"/>
      <c r="G29" s="75" t="s">
        <v>221</v>
      </c>
      <c r="H29" s="75"/>
      <c r="I29" s="75"/>
      <c r="J29" s="75"/>
      <c r="K29" s="75"/>
      <c r="L29" s="75"/>
      <c r="M29" s="75"/>
      <c r="N29" s="75"/>
      <c r="O29" s="79"/>
      <c r="P29" s="243"/>
      <c r="Q29" s="243"/>
      <c r="R29" s="243"/>
      <c r="S29" s="243"/>
      <c r="T29" s="238"/>
      <c r="U29" s="238"/>
      <c r="V29" s="238"/>
      <c r="W29" s="238"/>
      <c r="X29" s="238"/>
      <c r="Y29" s="238"/>
      <c r="Z29" s="238"/>
      <c r="AA29" s="238"/>
      <c r="AB29" s="243"/>
      <c r="AC29" s="243"/>
      <c r="AD29" s="243"/>
      <c r="AE29" s="243"/>
      <c r="AF29" s="243"/>
      <c r="AG29" s="243"/>
      <c r="AH29" s="243"/>
      <c r="AI29" s="243"/>
      <c r="AJ29" s="243"/>
      <c r="AK29" s="243"/>
      <c r="AL29" s="243"/>
      <c r="AM29" s="243"/>
      <c r="AN29" s="243"/>
      <c r="AO29" s="243"/>
      <c r="AP29" s="243"/>
      <c r="AQ29" s="243"/>
      <c r="AR29" s="243"/>
      <c r="AS29" s="243"/>
      <c r="AT29" s="243"/>
      <c r="AU29" s="243"/>
      <c r="AV29" s="243"/>
    </row>
    <row r="30" spans="4:48">
      <c r="D30" s="172">
        <v>5003</v>
      </c>
      <c r="E30" s="172"/>
      <c r="F30" s="74"/>
      <c r="G30" s="75" t="s">
        <v>222</v>
      </c>
      <c r="H30" s="75"/>
      <c r="I30" s="75"/>
      <c r="J30" s="75"/>
      <c r="K30" s="75"/>
      <c r="L30" s="75"/>
      <c r="M30" s="75"/>
      <c r="N30" s="75"/>
      <c r="O30" s="79"/>
      <c r="P30" s="243"/>
      <c r="Q30" s="243"/>
      <c r="R30" s="243"/>
      <c r="S30" s="243"/>
      <c r="T30" s="238"/>
      <c r="U30" s="238"/>
      <c r="V30" s="238"/>
      <c r="W30" s="238"/>
      <c r="X30" s="238"/>
      <c r="Y30" s="238"/>
      <c r="Z30" s="238"/>
      <c r="AA30" s="238"/>
      <c r="AB30" s="243"/>
      <c r="AC30" s="243"/>
      <c r="AD30" s="243"/>
      <c r="AE30" s="243"/>
      <c r="AF30" s="243"/>
      <c r="AG30" s="243"/>
      <c r="AH30" s="243"/>
      <c r="AI30" s="243"/>
      <c r="AJ30" s="243"/>
      <c r="AK30" s="243"/>
      <c r="AL30" s="243"/>
      <c r="AM30" s="243"/>
      <c r="AN30" s="243"/>
      <c r="AO30" s="243"/>
      <c r="AP30" s="243"/>
      <c r="AQ30" s="243"/>
      <c r="AR30" s="243"/>
      <c r="AS30" s="243"/>
      <c r="AT30" s="243"/>
      <c r="AU30" s="243"/>
      <c r="AV30" s="243"/>
    </row>
    <row r="31" spans="4:48">
      <c r="D31" s="172">
        <v>5007</v>
      </c>
      <c r="E31" s="172"/>
      <c r="F31" s="74"/>
      <c r="G31" s="75" t="s">
        <v>223</v>
      </c>
      <c r="H31" s="75"/>
      <c r="I31" s="75"/>
      <c r="J31" s="75"/>
      <c r="K31" s="75"/>
      <c r="L31" s="75"/>
      <c r="M31" s="75"/>
      <c r="N31" s="75"/>
      <c r="O31" s="79"/>
      <c r="P31" s="243"/>
      <c r="Q31" s="243"/>
      <c r="R31" s="243"/>
      <c r="S31" s="243"/>
      <c r="T31" s="238"/>
      <c r="U31" s="238"/>
      <c r="V31" s="238"/>
      <c r="W31" s="238"/>
      <c r="X31" s="238"/>
      <c r="Y31" s="238"/>
      <c r="Z31" s="238"/>
      <c r="AA31" s="238"/>
      <c r="AB31" s="243"/>
      <c r="AC31" s="243"/>
      <c r="AD31" s="243"/>
      <c r="AE31" s="243"/>
      <c r="AF31" s="243"/>
      <c r="AG31" s="243"/>
      <c r="AH31" s="243"/>
      <c r="AI31" s="243"/>
      <c r="AJ31" s="243"/>
      <c r="AK31" s="243"/>
      <c r="AL31" s="243"/>
      <c r="AM31" s="243"/>
      <c r="AN31" s="243"/>
      <c r="AO31" s="243"/>
      <c r="AP31" s="243"/>
      <c r="AQ31" s="243"/>
      <c r="AR31" s="243"/>
      <c r="AS31" s="243"/>
      <c r="AT31" s="243"/>
      <c r="AU31" s="243"/>
      <c r="AV31" s="243"/>
    </row>
    <row r="32" spans="4:48">
      <c r="D32" s="172">
        <v>5008</v>
      </c>
      <c r="E32" s="172"/>
      <c r="F32" s="74"/>
      <c r="G32" s="75" t="s">
        <v>224</v>
      </c>
      <c r="H32" s="75"/>
      <c r="I32" s="75"/>
      <c r="J32" s="75"/>
      <c r="K32" s="75"/>
      <c r="L32" s="75"/>
      <c r="M32" s="75"/>
      <c r="N32" s="75"/>
      <c r="O32" s="79"/>
      <c r="P32" s="243"/>
      <c r="Q32" s="243"/>
      <c r="R32" s="243"/>
      <c r="S32" s="243"/>
      <c r="T32" s="238"/>
      <c r="U32" s="238"/>
      <c r="V32" s="238"/>
      <c r="W32" s="238"/>
      <c r="X32" s="238"/>
      <c r="Y32" s="238"/>
      <c r="Z32" s="238"/>
      <c r="AA32" s="238"/>
      <c r="AB32" s="243"/>
      <c r="AC32" s="243"/>
      <c r="AD32" s="243"/>
      <c r="AE32" s="243"/>
      <c r="AF32" s="243"/>
      <c r="AG32" s="243"/>
      <c r="AH32" s="243"/>
      <c r="AI32" s="243"/>
      <c r="AJ32" s="243"/>
      <c r="AK32" s="243"/>
      <c r="AL32" s="243"/>
      <c r="AM32" s="243"/>
      <c r="AN32" s="243"/>
      <c r="AO32" s="243"/>
      <c r="AP32" s="243"/>
      <c r="AQ32" s="243"/>
      <c r="AR32" s="243"/>
      <c r="AS32" s="243"/>
      <c r="AT32" s="243"/>
      <c r="AU32" s="243"/>
      <c r="AV32" s="243"/>
    </row>
    <row r="33" spans="4:48">
      <c r="D33" s="172">
        <v>5009</v>
      </c>
      <c r="E33" s="172"/>
      <c r="F33" s="74"/>
      <c r="G33" s="75"/>
      <c r="H33" s="77" t="s">
        <v>225</v>
      </c>
      <c r="I33" s="75"/>
      <c r="J33" s="75"/>
      <c r="K33" s="75"/>
      <c r="L33" s="75"/>
      <c r="M33" s="75"/>
      <c r="N33" s="75"/>
      <c r="O33" s="79"/>
      <c r="P33" s="243"/>
      <c r="Q33" s="243"/>
      <c r="R33" s="243"/>
      <c r="S33" s="243"/>
      <c r="T33" s="238"/>
      <c r="U33" s="238"/>
      <c r="V33" s="238"/>
      <c r="W33" s="238"/>
      <c r="X33" s="238"/>
      <c r="Y33" s="238"/>
      <c r="Z33" s="238"/>
      <c r="AA33" s="238"/>
      <c r="AB33" s="243"/>
      <c r="AC33" s="243"/>
      <c r="AD33" s="243"/>
      <c r="AE33" s="243"/>
      <c r="AF33" s="243"/>
      <c r="AG33" s="243"/>
      <c r="AH33" s="243"/>
      <c r="AI33" s="243"/>
      <c r="AJ33" s="243"/>
      <c r="AK33" s="243"/>
      <c r="AL33" s="243"/>
      <c r="AM33" s="243"/>
      <c r="AN33" s="243"/>
      <c r="AO33" s="243"/>
      <c r="AP33" s="243"/>
      <c r="AQ33" s="243"/>
      <c r="AR33" s="243"/>
      <c r="AS33" s="243"/>
      <c r="AT33" s="243"/>
      <c r="AU33" s="243"/>
      <c r="AV33" s="243"/>
    </row>
    <row r="34" spans="4:48">
      <c r="D34" s="172">
        <v>5020</v>
      </c>
      <c r="E34" s="172"/>
      <c r="F34" s="74"/>
      <c r="G34" s="75" t="s">
        <v>226</v>
      </c>
      <c r="H34" s="75"/>
      <c r="I34" s="75"/>
      <c r="J34" s="75"/>
      <c r="K34" s="75"/>
      <c r="L34" s="75"/>
      <c r="M34" s="75"/>
      <c r="N34" s="75"/>
      <c r="O34" s="79"/>
      <c r="P34" s="243"/>
      <c r="Q34" s="243"/>
      <c r="R34" s="243"/>
      <c r="S34" s="243"/>
      <c r="T34" s="238"/>
      <c r="U34" s="238"/>
      <c r="V34" s="238"/>
      <c r="W34" s="238"/>
      <c r="X34" s="238"/>
      <c r="Y34" s="238"/>
      <c r="Z34" s="238"/>
      <c r="AA34" s="238"/>
      <c r="AB34" s="243"/>
      <c r="AC34" s="243"/>
      <c r="AD34" s="243"/>
      <c r="AE34" s="243"/>
      <c r="AF34" s="238"/>
      <c r="AG34" s="238"/>
      <c r="AH34" s="238"/>
      <c r="AI34" s="238"/>
      <c r="AJ34" s="238"/>
      <c r="AK34" s="238"/>
      <c r="AL34" s="238"/>
      <c r="AM34" s="238"/>
      <c r="AN34" s="238"/>
      <c r="AO34" s="238"/>
      <c r="AP34" s="238"/>
      <c r="AQ34" s="238"/>
      <c r="AR34" s="243"/>
      <c r="AS34" s="243"/>
      <c r="AT34" s="243"/>
      <c r="AU34" s="243"/>
      <c r="AV34" s="243"/>
    </row>
    <row r="35" spans="4:48">
      <c r="D35" s="172">
        <v>4300</v>
      </c>
      <c r="E35" s="172"/>
      <c r="F35" s="245" t="s">
        <v>227</v>
      </c>
      <c r="G35" s="245"/>
      <c r="H35" s="245"/>
      <c r="I35" s="245"/>
      <c r="J35" s="245"/>
      <c r="K35" s="245"/>
      <c r="L35" s="245"/>
      <c r="M35" s="245"/>
      <c r="N35" s="245"/>
      <c r="O35" s="245"/>
      <c r="P35" s="243"/>
      <c r="Q35" s="243"/>
      <c r="R35" s="243"/>
      <c r="S35" s="243"/>
      <c r="T35" s="238"/>
      <c r="U35" s="238"/>
      <c r="V35" s="238"/>
      <c r="W35" s="238"/>
      <c r="X35" s="238"/>
      <c r="Y35" s="238"/>
      <c r="Z35" s="238"/>
      <c r="AA35" s="238"/>
      <c r="AB35" s="243"/>
      <c r="AC35" s="243"/>
      <c r="AD35" s="243"/>
      <c r="AE35" s="243"/>
      <c r="AF35" s="238"/>
      <c r="AG35" s="238"/>
      <c r="AH35" s="238"/>
      <c r="AI35" s="238"/>
      <c r="AJ35" s="238"/>
      <c r="AK35" s="238"/>
      <c r="AL35" s="238"/>
      <c r="AM35" s="238"/>
      <c r="AN35" s="238"/>
      <c r="AO35" s="238"/>
      <c r="AP35" s="238"/>
      <c r="AQ35" s="238"/>
      <c r="AR35" s="243"/>
      <c r="AS35" s="243"/>
      <c r="AT35" s="243"/>
      <c r="AU35" s="243"/>
      <c r="AV35" s="243"/>
    </row>
    <row r="36" spans="4:48">
      <c r="D36" s="172">
        <v>4199</v>
      </c>
      <c r="E36" s="172"/>
      <c r="F36" s="245" t="s">
        <v>228</v>
      </c>
      <c r="G36" s="245"/>
      <c r="H36" s="245"/>
      <c r="I36" s="245"/>
      <c r="J36" s="245"/>
      <c r="K36" s="245"/>
      <c r="L36" s="245"/>
      <c r="M36" s="245"/>
      <c r="N36" s="245"/>
      <c r="O36" s="245"/>
      <c r="P36" s="243"/>
      <c r="Q36" s="243"/>
      <c r="R36" s="243"/>
      <c r="S36" s="243"/>
      <c r="T36" s="243"/>
      <c r="U36" s="243"/>
      <c r="V36" s="243"/>
      <c r="W36" s="243"/>
      <c r="X36" s="243"/>
      <c r="Y36" s="243"/>
      <c r="Z36" s="243"/>
      <c r="AA36" s="243"/>
      <c r="AB36" s="243"/>
      <c r="AC36" s="243"/>
      <c r="AD36" s="243"/>
      <c r="AE36" s="243"/>
      <c r="AF36" s="243"/>
      <c r="AG36" s="243"/>
      <c r="AH36" s="243"/>
      <c r="AI36" s="243"/>
      <c r="AJ36" s="243"/>
      <c r="AK36" s="243"/>
      <c r="AL36" s="243"/>
      <c r="AM36" s="243"/>
      <c r="AN36" s="243"/>
      <c r="AO36" s="243"/>
      <c r="AP36" s="243"/>
      <c r="AQ36" s="243"/>
      <c r="AR36" s="243"/>
      <c r="AS36" s="243"/>
      <c r="AT36" s="243"/>
      <c r="AU36" s="243"/>
      <c r="AV36" s="243"/>
    </row>
    <row r="37" spans="4:48">
      <c r="D37" s="237"/>
      <c r="E37" s="237"/>
      <c r="F37" s="236" t="s">
        <v>229</v>
      </c>
      <c r="G37" s="236"/>
      <c r="H37" s="236"/>
      <c r="I37" s="236"/>
      <c r="J37" s="236"/>
      <c r="K37" s="236"/>
      <c r="L37" s="236"/>
      <c r="M37" s="236"/>
      <c r="N37" s="236"/>
      <c r="O37" s="236"/>
      <c r="P37" s="238"/>
      <c r="Q37" s="238"/>
      <c r="R37" s="238"/>
      <c r="S37" s="238"/>
      <c r="T37" s="238"/>
      <c r="U37" s="238"/>
      <c r="V37" s="238"/>
      <c r="W37" s="238"/>
      <c r="X37" s="238"/>
      <c r="Y37" s="238"/>
      <c r="Z37" s="238"/>
      <c r="AA37" s="238"/>
      <c r="AB37" s="238"/>
      <c r="AC37" s="238"/>
      <c r="AD37" s="238"/>
      <c r="AE37" s="238"/>
      <c r="AF37" s="238"/>
      <c r="AG37" s="238"/>
      <c r="AH37" s="238"/>
      <c r="AI37" s="238"/>
      <c r="AJ37" s="238"/>
      <c r="AK37" s="238"/>
      <c r="AL37" s="238"/>
      <c r="AM37" s="238"/>
      <c r="AN37" s="238"/>
      <c r="AO37" s="238"/>
      <c r="AP37" s="238"/>
      <c r="AQ37" s="238"/>
      <c r="AR37" s="238"/>
      <c r="AS37" s="238"/>
      <c r="AT37" s="238"/>
      <c r="AU37" s="238"/>
      <c r="AV37" s="238"/>
    </row>
    <row r="38" spans="4:48">
      <c r="D38" s="172">
        <v>5311</v>
      </c>
      <c r="E38" s="172"/>
      <c r="F38" s="74"/>
      <c r="G38" s="75" t="s">
        <v>230</v>
      </c>
      <c r="H38" s="75"/>
      <c r="I38" s="75"/>
      <c r="J38" s="75"/>
      <c r="K38" s="75"/>
      <c r="L38" s="75"/>
      <c r="M38" s="75"/>
      <c r="N38" s="75"/>
      <c r="O38" s="79"/>
      <c r="P38" s="243"/>
      <c r="Q38" s="243"/>
      <c r="R38" s="243"/>
      <c r="S38" s="243"/>
      <c r="T38" s="238"/>
      <c r="U38" s="238"/>
      <c r="V38" s="238"/>
      <c r="W38" s="238"/>
      <c r="X38" s="238"/>
      <c r="Y38" s="238"/>
      <c r="Z38" s="238"/>
      <c r="AA38" s="238"/>
      <c r="AB38" s="243"/>
      <c r="AC38" s="243"/>
      <c r="AD38" s="243"/>
      <c r="AE38" s="243"/>
      <c r="AF38" s="243"/>
      <c r="AG38" s="243"/>
      <c r="AH38" s="243"/>
      <c r="AI38" s="243"/>
      <c r="AJ38" s="243"/>
      <c r="AK38" s="243"/>
      <c r="AL38" s="243"/>
      <c r="AM38" s="243"/>
      <c r="AN38" s="243"/>
      <c r="AO38" s="243"/>
      <c r="AP38" s="243"/>
      <c r="AQ38" s="243"/>
      <c r="AR38" s="243"/>
      <c r="AS38" s="243"/>
      <c r="AT38" s="243"/>
      <c r="AU38" s="243"/>
      <c r="AV38" s="243"/>
    </row>
    <row r="39" spans="4:48">
      <c r="D39" s="172">
        <v>5312</v>
      </c>
      <c r="E39" s="172"/>
      <c r="F39" s="74"/>
      <c r="G39" s="75" t="s">
        <v>231</v>
      </c>
      <c r="H39" s="75"/>
      <c r="I39" s="75"/>
      <c r="J39" s="75"/>
      <c r="K39" s="75"/>
      <c r="L39" s="75"/>
      <c r="M39" s="75"/>
      <c r="N39" s="75"/>
      <c r="O39" s="79"/>
      <c r="P39" s="243"/>
      <c r="Q39" s="243"/>
      <c r="R39" s="243"/>
      <c r="S39" s="243"/>
      <c r="T39" s="238"/>
      <c r="U39" s="238"/>
      <c r="V39" s="238"/>
      <c r="W39" s="238"/>
      <c r="X39" s="238"/>
      <c r="Y39" s="238"/>
      <c r="Z39" s="238"/>
      <c r="AA39" s="238"/>
      <c r="AB39" s="243"/>
      <c r="AC39" s="243"/>
      <c r="AD39" s="243"/>
      <c r="AE39" s="243"/>
      <c r="AF39" s="243"/>
      <c r="AG39" s="243"/>
      <c r="AH39" s="243"/>
      <c r="AI39" s="243"/>
      <c r="AJ39" s="243"/>
      <c r="AK39" s="243"/>
      <c r="AL39" s="243"/>
      <c r="AM39" s="243"/>
      <c r="AN39" s="243"/>
      <c r="AO39" s="243"/>
      <c r="AP39" s="243"/>
      <c r="AQ39" s="243"/>
      <c r="AR39" s="243"/>
      <c r="AS39" s="243"/>
      <c r="AT39" s="243"/>
      <c r="AU39" s="243"/>
      <c r="AV39" s="243"/>
    </row>
    <row r="40" spans="4:48">
      <c r="D40" s="172">
        <v>5313</v>
      </c>
      <c r="E40" s="172"/>
      <c r="F40" s="74"/>
      <c r="G40" s="75" t="s">
        <v>232</v>
      </c>
      <c r="H40" s="75"/>
      <c r="I40" s="75"/>
      <c r="J40" s="75"/>
      <c r="K40" s="75"/>
      <c r="L40" s="75"/>
      <c r="M40" s="75"/>
      <c r="N40" s="75"/>
      <c r="O40" s="79"/>
      <c r="P40" s="243"/>
      <c r="Q40" s="243"/>
      <c r="R40" s="243"/>
      <c r="S40" s="243"/>
      <c r="T40" s="238"/>
      <c r="U40" s="238"/>
      <c r="V40" s="238"/>
      <c r="W40" s="238"/>
      <c r="X40" s="238"/>
      <c r="Y40" s="238"/>
      <c r="Z40" s="238"/>
      <c r="AA40" s="238"/>
      <c r="AB40" s="243"/>
      <c r="AC40" s="243"/>
      <c r="AD40" s="243"/>
      <c r="AE40" s="243"/>
      <c r="AF40" s="243"/>
      <c r="AG40" s="243"/>
      <c r="AH40" s="243"/>
      <c r="AI40" s="243"/>
      <c r="AJ40" s="243"/>
      <c r="AK40" s="243"/>
      <c r="AL40" s="243"/>
      <c r="AM40" s="243"/>
      <c r="AN40" s="243"/>
      <c r="AO40" s="243"/>
      <c r="AP40" s="243"/>
      <c r="AQ40" s="243"/>
      <c r="AR40" s="243"/>
      <c r="AS40" s="243"/>
      <c r="AT40" s="243"/>
      <c r="AU40" s="243"/>
      <c r="AV40" s="243"/>
    </row>
    <row r="41" spans="4:48">
      <c r="D41" s="172">
        <v>5314</v>
      </c>
      <c r="E41" s="172"/>
      <c r="F41" s="74"/>
      <c r="G41" s="75" t="s">
        <v>233</v>
      </c>
      <c r="H41" s="75"/>
      <c r="I41" s="75"/>
      <c r="J41" s="75"/>
      <c r="K41" s="75"/>
      <c r="L41" s="75"/>
      <c r="M41" s="75"/>
      <c r="N41" s="75"/>
      <c r="O41" s="79"/>
      <c r="P41" s="243"/>
      <c r="Q41" s="243"/>
      <c r="R41" s="243"/>
      <c r="S41" s="243"/>
      <c r="T41" s="238"/>
      <c r="U41" s="238"/>
      <c r="V41" s="238"/>
      <c r="W41" s="238"/>
      <c r="X41" s="238"/>
      <c r="Y41" s="238"/>
      <c r="Z41" s="238"/>
      <c r="AA41" s="238"/>
      <c r="AB41" s="243"/>
      <c r="AC41" s="243"/>
      <c r="AD41" s="243"/>
      <c r="AE41" s="243"/>
      <c r="AF41" s="243"/>
      <c r="AG41" s="243"/>
      <c r="AH41" s="243"/>
      <c r="AI41" s="243"/>
      <c r="AJ41" s="243"/>
      <c r="AK41" s="243"/>
      <c r="AL41" s="243"/>
      <c r="AM41" s="243"/>
      <c r="AN41" s="243"/>
      <c r="AO41" s="243"/>
      <c r="AP41" s="243"/>
      <c r="AQ41" s="243"/>
      <c r="AR41" s="243"/>
      <c r="AS41" s="243"/>
      <c r="AT41" s="243"/>
      <c r="AU41" s="243"/>
      <c r="AV41" s="243"/>
    </row>
    <row r="42" spans="4:48">
      <c r="D42" s="172">
        <v>4315</v>
      </c>
      <c r="E42" s="172"/>
      <c r="F42" s="74"/>
      <c r="G42" s="75" t="s">
        <v>234</v>
      </c>
      <c r="H42" s="75"/>
      <c r="I42" s="75"/>
      <c r="J42" s="75"/>
      <c r="K42" s="75"/>
      <c r="L42" s="75"/>
      <c r="M42" s="75"/>
      <c r="N42" s="75"/>
      <c r="O42" s="79"/>
      <c r="P42" s="243"/>
      <c r="Q42" s="243"/>
      <c r="R42" s="243"/>
      <c r="S42" s="243"/>
      <c r="T42" s="238"/>
      <c r="U42" s="238"/>
      <c r="V42" s="238"/>
      <c r="W42" s="238"/>
      <c r="X42" s="238"/>
      <c r="Y42" s="238"/>
      <c r="Z42" s="238"/>
      <c r="AA42" s="238"/>
      <c r="AB42" s="243"/>
      <c r="AC42" s="243"/>
      <c r="AD42" s="243"/>
      <c r="AE42" s="243"/>
      <c r="AF42" s="243"/>
      <c r="AG42" s="243"/>
      <c r="AH42" s="243"/>
      <c r="AI42" s="243"/>
      <c r="AJ42" s="243"/>
      <c r="AK42" s="243"/>
      <c r="AL42" s="243"/>
      <c r="AM42" s="243"/>
      <c r="AN42" s="243"/>
      <c r="AO42" s="243"/>
      <c r="AP42" s="243"/>
      <c r="AQ42" s="243"/>
      <c r="AR42" s="243"/>
      <c r="AS42" s="243"/>
      <c r="AT42" s="243"/>
      <c r="AU42" s="243"/>
      <c r="AV42" s="243"/>
    </row>
    <row r="43" spans="4:48">
      <c r="D43" s="172">
        <v>4316</v>
      </c>
      <c r="E43" s="172"/>
      <c r="F43" s="74"/>
      <c r="G43" s="75" t="s">
        <v>235</v>
      </c>
      <c r="H43" s="75"/>
      <c r="I43" s="75"/>
      <c r="J43" s="75"/>
      <c r="K43" s="75"/>
      <c r="L43" s="75"/>
      <c r="M43" s="75"/>
      <c r="N43" s="75"/>
      <c r="O43" s="79"/>
      <c r="P43" s="243"/>
      <c r="Q43" s="243"/>
      <c r="R43" s="243"/>
      <c r="S43" s="243"/>
      <c r="T43" s="238"/>
      <c r="U43" s="238"/>
      <c r="V43" s="238"/>
      <c r="W43" s="238"/>
      <c r="X43" s="238"/>
      <c r="Y43" s="238"/>
      <c r="Z43" s="238"/>
      <c r="AA43" s="238"/>
      <c r="AB43" s="243"/>
      <c r="AC43" s="243"/>
      <c r="AD43" s="243"/>
      <c r="AE43" s="243"/>
      <c r="AF43" s="243"/>
      <c r="AG43" s="243"/>
      <c r="AH43" s="243"/>
      <c r="AI43" s="243"/>
      <c r="AJ43" s="243"/>
      <c r="AK43" s="243"/>
      <c r="AL43" s="243"/>
      <c r="AM43" s="243"/>
      <c r="AN43" s="243"/>
      <c r="AO43" s="243"/>
      <c r="AP43" s="243"/>
      <c r="AQ43" s="243"/>
      <c r="AR43" s="243"/>
      <c r="AS43" s="243"/>
      <c r="AT43" s="243"/>
      <c r="AU43" s="243"/>
      <c r="AV43" s="243"/>
    </row>
    <row r="44" spans="4:48">
      <c r="D44" s="172">
        <v>4317</v>
      </c>
      <c r="E44" s="172"/>
      <c r="F44" s="74"/>
      <c r="G44" s="75" t="s">
        <v>236</v>
      </c>
      <c r="H44" s="75"/>
      <c r="I44" s="75"/>
      <c r="J44" s="75"/>
      <c r="K44" s="75"/>
      <c r="L44" s="75"/>
      <c r="M44" s="75"/>
      <c r="N44" s="75"/>
      <c r="O44" s="79"/>
      <c r="P44" s="243"/>
      <c r="Q44" s="243"/>
      <c r="R44" s="243"/>
      <c r="S44" s="243"/>
      <c r="T44" s="238"/>
      <c r="U44" s="238"/>
      <c r="V44" s="238"/>
      <c r="W44" s="238"/>
      <c r="X44" s="238"/>
      <c r="Y44" s="238"/>
      <c r="Z44" s="238"/>
      <c r="AA44" s="238"/>
      <c r="AB44" s="243"/>
      <c r="AC44" s="243"/>
      <c r="AD44" s="243"/>
      <c r="AE44" s="243"/>
      <c r="AF44" s="243"/>
      <c r="AG44" s="243"/>
      <c r="AH44" s="243"/>
      <c r="AI44" s="243"/>
      <c r="AJ44" s="243"/>
      <c r="AK44" s="243"/>
      <c r="AL44" s="243"/>
      <c r="AM44" s="243"/>
      <c r="AN44" s="243"/>
      <c r="AO44" s="243"/>
      <c r="AP44" s="243"/>
      <c r="AQ44" s="243"/>
      <c r="AR44" s="243"/>
      <c r="AS44" s="243"/>
      <c r="AT44" s="243"/>
      <c r="AU44" s="243"/>
      <c r="AV44" s="243"/>
    </row>
    <row r="45" spans="4:48">
      <c r="D45" s="172">
        <v>5318</v>
      </c>
      <c r="E45" s="172"/>
      <c r="F45" s="74"/>
      <c r="G45" s="75" t="s">
        <v>237</v>
      </c>
      <c r="H45" s="75"/>
      <c r="I45" s="75"/>
      <c r="J45" s="75"/>
      <c r="K45" s="75"/>
      <c r="L45" s="75"/>
      <c r="M45" s="75"/>
      <c r="N45" s="75"/>
      <c r="O45" s="79"/>
      <c r="P45" s="243"/>
      <c r="Q45" s="243"/>
      <c r="R45" s="243"/>
      <c r="S45" s="243"/>
      <c r="T45" s="238"/>
      <c r="U45" s="238"/>
      <c r="V45" s="238"/>
      <c r="W45" s="238"/>
      <c r="X45" s="238"/>
      <c r="Y45" s="238"/>
      <c r="Z45" s="238"/>
      <c r="AA45" s="238"/>
      <c r="AB45" s="243"/>
      <c r="AC45" s="243"/>
      <c r="AD45" s="243"/>
      <c r="AE45" s="243"/>
      <c r="AF45" s="243"/>
      <c r="AG45" s="243"/>
      <c r="AH45" s="243"/>
      <c r="AI45" s="243"/>
      <c r="AJ45" s="243"/>
      <c r="AK45" s="243"/>
      <c r="AL45" s="243"/>
      <c r="AM45" s="243"/>
      <c r="AN45" s="243"/>
      <c r="AO45" s="243"/>
      <c r="AP45" s="243"/>
      <c r="AQ45" s="243"/>
      <c r="AR45" s="243"/>
      <c r="AS45" s="243"/>
      <c r="AT45" s="243"/>
      <c r="AU45" s="243"/>
      <c r="AV45" s="243"/>
    </row>
    <row r="46" spans="4:48">
      <c r="D46" s="172">
        <v>5319</v>
      </c>
      <c r="E46" s="172"/>
      <c r="F46" s="74"/>
      <c r="G46" s="75" t="s">
        <v>238</v>
      </c>
      <c r="H46" s="75"/>
      <c r="I46" s="75"/>
      <c r="J46" s="75"/>
      <c r="K46" s="75"/>
      <c r="L46" s="75"/>
      <c r="M46" s="75"/>
      <c r="N46" s="75"/>
      <c r="O46" s="79"/>
      <c r="P46" s="243"/>
      <c r="Q46" s="243"/>
      <c r="R46" s="243"/>
      <c r="S46" s="243"/>
      <c r="T46" s="238"/>
      <c r="U46" s="238"/>
      <c r="V46" s="238"/>
      <c r="W46" s="238"/>
      <c r="X46" s="238"/>
      <c r="Y46" s="238"/>
      <c r="Z46" s="238"/>
      <c r="AA46" s="238"/>
      <c r="AB46" s="243"/>
      <c r="AC46" s="243"/>
      <c r="AD46" s="243"/>
      <c r="AE46" s="243"/>
      <c r="AF46" s="243"/>
      <c r="AG46" s="243"/>
      <c r="AH46" s="243"/>
      <c r="AI46" s="243"/>
      <c r="AJ46" s="243"/>
      <c r="AK46" s="243"/>
      <c r="AL46" s="243"/>
      <c r="AM46" s="243"/>
      <c r="AN46" s="243"/>
      <c r="AO46" s="243"/>
      <c r="AP46" s="243"/>
      <c r="AQ46" s="243"/>
      <c r="AR46" s="243"/>
      <c r="AS46" s="243"/>
      <c r="AT46" s="243"/>
      <c r="AU46" s="243"/>
      <c r="AV46" s="243"/>
    </row>
    <row r="47" spans="4:48">
      <c r="D47" s="172">
        <v>5320</v>
      </c>
      <c r="E47" s="172"/>
      <c r="F47" s="74"/>
      <c r="G47" s="75" t="s">
        <v>239</v>
      </c>
      <c r="H47" s="75"/>
      <c r="I47" s="75"/>
      <c r="J47" s="75"/>
      <c r="K47" s="75"/>
      <c r="L47" s="75"/>
      <c r="M47" s="75"/>
      <c r="N47" s="75"/>
      <c r="O47" s="79"/>
      <c r="P47" s="243"/>
      <c r="Q47" s="243"/>
      <c r="R47" s="243"/>
      <c r="S47" s="243"/>
      <c r="T47" s="238"/>
      <c r="U47" s="238"/>
      <c r="V47" s="238"/>
      <c r="W47" s="238"/>
      <c r="X47" s="238"/>
      <c r="Y47" s="238"/>
      <c r="Z47" s="238"/>
      <c r="AA47" s="238"/>
      <c r="AB47" s="243"/>
      <c r="AC47" s="243"/>
      <c r="AD47" s="243"/>
      <c r="AE47" s="243"/>
      <c r="AF47" s="243"/>
      <c r="AG47" s="243"/>
      <c r="AH47" s="243"/>
      <c r="AI47" s="243"/>
      <c r="AJ47" s="243"/>
      <c r="AK47" s="243"/>
      <c r="AL47" s="243"/>
      <c r="AM47" s="243"/>
      <c r="AN47" s="243"/>
      <c r="AO47" s="243"/>
      <c r="AP47" s="243"/>
      <c r="AQ47" s="243"/>
      <c r="AR47" s="243"/>
      <c r="AS47" s="243"/>
      <c r="AT47" s="243"/>
      <c r="AU47" s="243"/>
      <c r="AV47" s="243"/>
    </row>
    <row r="48" spans="4:48">
      <c r="D48" s="172">
        <v>5321</v>
      </c>
      <c r="E48" s="172"/>
      <c r="F48" s="74"/>
      <c r="G48" s="75" t="s">
        <v>240</v>
      </c>
      <c r="H48" s="75"/>
      <c r="I48" s="75"/>
      <c r="J48" s="75"/>
      <c r="K48" s="75"/>
      <c r="L48" s="75"/>
      <c r="M48" s="75"/>
      <c r="N48" s="75"/>
      <c r="O48" s="79"/>
      <c r="P48" s="243"/>
      <c r="Q48" s="243"/>
      <c r="R48" s="243"/>
      <c r="S48" s="243"/>
      <c r="T48" s="238"/>
      <c r="U48" s="238"/>
      <c r="V48" s="238"/>
      <c r="W48" s="238"/>
      <c r="X48" s="238"/>
      <c r="Y48" s="238"/>
      <c r="Z48" s="238"/>
      <c r="AA48" s="238"/>
      <c r="AB48" s="243"/>
      <c r="AC48" s="243"/>
      <c r="AD48" s="243"/>
      <c r="AE48" s="243"/>
      <c r="AF48" s="243"/>
      <c r="AG48" s="243"/>
      <c r="AH48" s="243"/>
      <c r="AI48" s="243"/>
      <c r="AJ48" s="243"/>
      <c r="AK48" s="243"/>
      <c r="AL48" s="243"/>
      <c r="AM48" s="243"/>
      <c r="AN48" s="243"/>
      <c r="AO48" s="243"/>
      <c r="AP48" s="243"/>
      <c r="AQ48" s="243"/>
      <c r="AR48" s="243"/>
      <c r="AS48" s="243"/>
      <c r="AT48" s="243"/>
      <c r="AU48" s="243"/>
      <c r="AV48" s="243"/>
    </row>
    <row r="49" spans="4:48">
      <c r="D49" s="172">
        <v>5322</v>
      </c>
      <c r="E49" s="172"/>
      <c r="F49" s="74"/>
      <c r="G49" s="75" t="s">
        <v>241</v>
      </c>
      <c r="H49" s="75"/>
      <c r="I49" s="75"/>
      <c r="J49" s="75"/>
      <c r="K49" s="75"/>
      <c r="L49" s="75"/>
      <c r="M49" s="75"/>
      <c r="N49" s="75"/>
      <c r="O49" s="79"/>
      <c r="P49" s="243"/>
      <c r="Q49" s="243"/>
      <c r="R49" s="243"/>
      <c r="S49" s="243"/>
      <c r="T49" s="238"/>
      <c r="U49" s="238"/>
      <c r="V49" s="238"/>
      <c r="W49" s="238"/>
      <c r="X49" s="238"/>
      <c r="Y49" s="238"/>
      <c r="Z49" s="238"/>
      <c r="AA49" s="238"/>
      <c r="AB49" s="243"/>
      <c r="AC49" s="243"/>
      <c r="AD49" s="243"/>
      <c r="AE49" s="243"/>
      <c r="AF49" s="243"/>
      <c r="AG49" s="243"/>
      <c r="AH49" s="243"/>
      <c r="AI49" s="243"/>
      <c r="AJ49" s="243"/>
      <c r="AK49" s="243"/>
      <c r="AL49" s="243"/>
      <c r="AM49" s="243"/>
      <c r="AN49" s="243"/>
      <c r="AO49" s="243"/>
      <c r="AP49" s="243"/>
      <c r="AQ49" s="243"/>
      <c r="AR49" s="243"/>
      <c r="AS49" s="243"/>
      <c r="AT49" s="243"/>
      <c r="AU49" s="243"/>
      <c r="AV49" s="243"/>
    </row>
    <row r="50" spans="4:48">
      <c r="D50" s="172">
        <v>5399</v>
      </c>
      <c r="E50" s="172"/>
      <c r="F50" s="74"/>
      <c r="G50" s="75" t="s">
        <v>242</v>
      </c>
      <c r="H50" s="75"/>
      <c r="I50" s="75"/>
      <c r="J50" s="75"/>
      <c r="K50" s="75"/>
      <c r="L50" s="75"/>
      <c r="M50" s="75"/>
      <c r="N50" s="75"/>
      <c r="O50" s="79"/>
      <c r="P50" s="243"/>
      <c r="Q50" s="243"/>
      <c r="R50" s="243"/>
      <c r="S50" s="243"/>
      <c r="T50" s="238"/>
      <c r="U50" s="238"/>
      <c r="V50" s="238"/>
      <c r="W50" s="238"/>
      <c r="X50" s="238"/>
      <c r="Y50" s="238"/>
      <c r="Z50" s="238"/>
      <c r="AA50" s="238"/>
      <c r="AB50" s="243"/>
      <c r="AC50" s="243"/>
      <c r="AD50" s="243"/>
      <c r="AE50" s="243"/>
      <c r="AF50" s="243"/>
      <c r="AG50" s="243"/>
      <c r="AH50" s="243"/>
      <c r="AI50" s="243"/>
      <c r="AJ50" s="243"/>
      <c r="AK50" s="243"/>
      <c r="AL50" s="243"/>
      <c r="AM50" s="243"/>
      <c r="AN50" s="243"/>
      <c r="AO50" s="243"/>
      <c r="AP50" s="243"/>
      <c r="AQ50" s="243"/>
      <c r="AR50" s="243"/>
      <c r="AS50" s="243"/>
      <c r="AT50" s="243"/>
      <c r="AU50" s="243"/>
      <c r="AV50" s="243"/>
    </row>
    <row r="51" spans="4:48">
      <c r="D51" s="172">
        <v>5400</v>
      </c>
      <c r="E51" s="172"/>
      <c r="F51" s="74"/>
      <c r="G51" s="75" t="s">
        <v>243</v>
      </c>
      <c r="H51" s="75"/>
      <c r="I51" s="75"/>
      <c r="J51" s="75"/>
      <c r="K51" s="75"/>
      <c r="L51" s="75"/>
      <c r="M51" s="75"/>
      <c r="N51" s="75"/>
      <c r="O51" s="79"/>
      <c r="P51" s="243"/>
      <c r="Q51" s="243"/>
      <c r="R51" s="243"/>
      <c r="S51" s="243"/>
      <c r="T51" s="238"/>
      <c r="U51" s="238"/>
      <c r="V51" s="238"/>
      <c r="W51" s="238"/>
      <c r="X51" s="238"/>
      <c r="Y51" s="238"/>
      <c r="Z51" s="238"/>
      <c r="AA51" s="238"/>
      <c r="AB51" s="243"/>
      <c r="AC51" s="243"/>
      <c r="AD51" s="243"/>
      <c r="AE51" s="243"/>
      <c r="AF51" s="238"/>
      <c r="AG51" s="238"/>
      <c r="AH51" s="238"/>
      <c r="AI51" s="238"/>
      <c r="AJ51" s="238"/>
      <c r="AK51" s="238"/>
      <c r="AL51" s="238"/>
      <c r="AM51" s="238"/>
      <c r="AN51" s="238"/>
      <c r="AO51" s="238"/>
      <c r="AP51" s="238"/>
      <c r="AQ51" s="238"/>
      <c r="AR51" s="243"/>
      <c r="AS51" s="243"/>
      <c r="AT51" s="243"/>
      <c r="AU51" s="243"/>
      <c r="AV51" s="243"/>
    </row>
    <row r="52" spans="4:48">
      <c r="D52" s="172">
        <v>4500</v>
      </c>
      <c r="E52" s="172"/>
      <c r="F52" s="74" t="s">
        <v>244</v>
      </c>
      <c r="G52" s="75"/>
      <c r="H52" s="75"/>
      <c r="I52" s="75"/>
      <c r="J52" s="75"/>
      <c r="K52" s="75"/>
      <c r="L52" s="75"/>
      <c r="M52" s="75"/>
      <c r="N52" s="75"/>
      <c r="O52" s="79"/>
      <c r="P52" s="243"/>
      <c r="Q52" s="243"/>
      <c r="R52" s="243"/>
      <c r="S52" s="243"/>
      <c r="T52" s="238"/>
      <c r="U52" s="238"/>
      <c r="V52" s="238"/>
      <c r="W52" s="238"/>
      <c r="X52" s="238"/>
      <c r="Y52" s="238"/>
      <c r="Z52" s="238"/>
      <c r="AA52" s="238"/>
      <c r="AB52" s="243"/>
      <c r="AC52" s="243"/>
      <c r="AD52" s="243"/>
      <c r="AE52" s="243"/>
      <c r="AF52" s="238"/>
      <c r="AG52" s="238"/>
      <c r="AH52" s="238"/>
      <c r="AI52" s="238"/>
      <c r="AJ52" s="238"/>
      <c r="AK52" s="238"/>
      <c r="AL52" s="238"/>
      <c r="AM52" s="238"/>
      <c r="AN52" s="238"/>
      <c r="AO52" s="238"/>
      <c r="AP52" s="238"/>
      <c r="AQ52" s="238"/>
      <c r="AR52" s="243"/>
      <c r="AS52" s="243"/>
      <c r="AT52" s="243"/>
      <c r="AU52" s="243"/>
      <c r="AV52" s="243"/>
    </row>
    <row r="53" spans="4:48">
      <c r="D53" s="237"/>
      <c r="E53" s="237"/>
      <c r="F53" s="76" t="s">
        <v>245</v>
      </c>
      <c r="G53" s="75"/>
      <c r="H53" s="75"/>
      <c r="I53" s="75"/>
      <c r="J53" s="75"/>
      <c r="K53" s="75"/>
      <c r="L53" s="75"/>
      <c r="M53" s="75"/>
      <c r="N53" s="75"/>
      <c r="O53" s="79"/>
      <c r="P53" s="238"/>
      <c r="Q53" s="238"/>
      <c r="R53" s="238"/>
      <c r="S53" s="238"/>
      <c r="T53" s="238"/>
      <c r="U53" s="238"/>
      <c r="V53" s="238"/>
      <c r="W53" s="238"/>
      <c r="X53" s="238"/>
      <c r="Y53" s="238"/>
      <c r="Z53" s="238"/>
      <c r="AA53" s="238"/>
      <c r="AB53" s="238"/>
      <c r="AC53" s="238"/>
      <c r="AD53" s="238"/>
      <c r="AE53" s="238"/>
      <c r="AF53" s="238"/>
      <c r="AG53" s="238"/>
      <c r="AH53" s="238"/>
      <c r="AI53" s="238"/>
      <c r="AJ53" s="238"/>
      <c r="AK53" s="238"/>
      <c r="AL53" s="238"/>
      <c r="AM53" s="238"/>
      <c r="AN53" s="238"/>
      <c r="AO53" s="238"/>
      <c r="AP53" s="238"/>
      <c r="AQ53" s="238"/>
      <c r="AR53" s="238"/>
      <c r="AS53" s="238"/>
      <c r="AT53" s="238"/>
      <c r="AU53" s="238"/>
      <c r="AV53" s="238"/>
    </row>
    <row r="54" spans="4:48">
      <c r="D54" s="172">
        <v>4501</v>
      </c>
      <c r="E54" s="172"/>
      <c r="F54" s="74" t="s">
        <v>246</v>
      </c>
      <c r="G54" s="75"/>
      <c r="H54" s="75"/>
      <c r="I54" s="75"/>
      <c r="J54" s="75"/>
      <c r="K54" s="75"/>
      <c r="L54" s="75"/>
      <c r="M54" s="75"/>
      <c r="N54" s="75"/>
      <c r="O54" s="79"/>
      <c r="P54" s="243"/>
      <c r="Q54" s="243"/>
      <c r="R54" s="243"/>
      <c r="S54" s="243"/>
      <c r="T54" s="244"/>
      <c r="U54" s="244"/>
      <c r="V54" s="244"/>
      <c r="W54" s="244"/>
      <c r="X54" s="244"/>
      <c r="Y54" s="244"/>
      <c r="Z54" s="244"/>
      <c r="AA54" s="244"/>
      <c r="AB54" s="244"/>
      <c r="AC54" s="244"/>
      <c r="AD54" s="244"/>
      <c r="AE54" s="244"/>
      <c r="AF54" s="244"/>
      <c r="AG54" s="244"/>
      <c r="AH54" s="244"/>
      <c r="AI54" s="244"/>
      <c r="AJ54" s="244"/>
      <c r="AK54" s="244"/>
      <c r="AL54" s="244"/>
      <c r="AM54" s="244"/>
      <c r="AN54" s="244"/>
      <c r="AO54" s="244"/>
      <c r="AP54" s="244"/>
      <c r="AQ54" s="244"/>
      <c r="AR54" s="243"/>
      <c r="AS54" s="243"/>
      <c r="AT54" s="243"/>
      <c r="AU54" s="243"/>
      <c r="AV54" s="243"/>
    </row>
    <row r="55" spans="4:48">
      <c r="D55" s="172">
        <v>4503</v>
      </c>
      <c r="E55" s="172"/>
      <c r="F55" s="74" t="s">
        <v>247</v>
      </c>
      <c r="G55" s="75"/>
      <c r="H55" s="75"/>
      <c r="I55" s="75"/>
      <c r="J55" s="75"/>
      <c r="K55" s="75"/>
      <c r="L55" s="75"/>
      <c r="M55" s="75"/>
      <c r="N55" s="75"/>
      <c r="O55" s="79"/>
      <c r="P55" s="243"/>
      <c r="Q55" s="243"/>
      <c r="R55" s="243"/>
      <c r="S55" s="243"/>
      <c r="T55" s="244"/>
      <c r="U55" s="244"/>
      <c r="V55" s="244"/>
      <c r="W55" s="244"/>
      <c r="X55" s="244"/>
      <c r="Y55" s="244"/>
      <c r="Z55" s="244"/>
      <c r="AA55" s="244"/>
      <c r="AB55" s="244"/>
      <c r="AC55" s="244"/>
      <c r="AD55" s="244"/>
      <c r="AE55" s="244"/>
      <c r="AF55" s="244"/>
      <c r="AG55" s="244"/>
      <c r="AH55" s="244"/>
      <c r="AI55" s="244"/>
      <c r="AJ55" s="244"/>
      <c r="AK55" s="244"/>
      <c r="AL55" s="244"/>
      <c r="AM55" s="244"/>
      <c r="AN55" s="244"/>
      <c r="AO55" s="244"/>
      <c r="AP55" s="244"/>
      <c r="AQ55" s="244"/>
      <c r="AR55" s="243"/>
      <c r="AS55" s="243"/>
      <c r="AT55" s="243"/>
      <c r="AU55" s="243"/>
      <c r="AV55" s="243"/>
    </row>
    <row r="56" spans="4:48">
      <c r="D56" s="172">
        <v>4511</v>
      </c>
      <c r="E56" s="172"/>
      <c r="F56" s="74" t="s">
        <v>248</v>
      </c>
      <c r="G56" s="75"/>
      <c r="H56" s="75"/>
      <c r="I56" s="75"/>
      <c r="J56" s="75"/>
      <c r="K56" s="75"/>
      <c r="L56" s="75"/>
      <c r="M56" s="75"/>
      <c r="N56" s="75"/>
      <c r="O56" s="79"/>
      <c r="P56" s="243"/>
      <c r="Q56" s="243"/>
      <c r="R56" s="243"/>
      <c r="S56" s="243"/>
      <c r="T56" s="244"/>
      <c r="U56" s="244"/>
      <c r="V56" s="244"/>
      <c r="W56" s="244"/>
      <c r="X56" s="244"/>
      <c r="Y56" s="244"/>
      <c r="Z56" s="244"/>
      <c r="AA56" s="244"/>
      <c r="AB56" s="244"/>
      <c r="AC56" s="244"/>
      <c r="AD56" s="244"/>
      <c r="AE56" s="244"/>
      <c r="AF56" s="244"/>
      <c r="AG56" s="244"/>
      <c r="AH56" s="244"/>
      <c r="AI56" s="244"/>
      <c r="AJ56" s="244"/>
      <c r="AK56" s="244"/>
      <c r="AL56" s="244"/>
      <c r="AM56" s="244"/>
      <c r="AN56" s="244"/>
      <c r="AO56" s="244"/>
      <c r="AP56" s="244"/>
      <c r="AQ56" s="244"/>
      <c r="AR56" s="243"/>
      <c r="AS56" s="243"/>
      <c r="AT56" s="243"/>
      <c r="AU56" s="243"/>
      <c r="AV56" s="243"/>
    </row>
    <row r="57" spans="4:48">
      <c r="D57" s="172">
        <v>4599</v>
      </c>
      <c r="E57" s="172"/>
      <c r="F57" s="74" t="s">
        <v>249</v>
      </c>
      <c r="G57" s="75"/>
      <c r="H57" s="75"/>
      <c r="I57" s="75"/>
      <c r="J57" s="75"/>
      <c r="K57" s="75"/>
      <c r="L57" s="75"/>
      <c r="M57" s="75"/>
      <c r="N57" s="75"/>
      <c r="O57" s="79"/>
      <c r="P57" s="243"/>
      <c r="Q57" s="243"/>
      <c r="R57" s="243"/>
      <c r="S57" s="243"/>
      <c r="T57" s="244"/>
      <c r="U57" s="244"/>
      <c r="V57" s="244"/>
      <c r="W57" s="244"/>
      <c r="X57" s="244"/>
      <c r="Y57" s="244"/>
      <c r="Z57" s="244"/>
      <c r="AA57" s="244"/>
      <c r="AB57" s="244"/>
      <c r="AC57" s="244"/>
      <c r="AD57" s="244"/>
      <c r="AE57" s="244"/>
      <c r="AF57" s="244"/>
      <c r="AG57" s="244"/>
      <c r="AH57" s="244"/>
      <c r="AI57" s="244"/>
      <c r="AJ57" s="244"/>
      <c r="AK57" s="244"/>
      <c r="AL57" s="244"/>
      <c r="AM57" s="244"/>
      <c r="AN57" s="244"/>
      <c r="AO57" s="244"/>
      <c r="AP57" s="244"/>
      <c r="AQ57" s="244"/>
      <c r="AR57" s="243"/>
      <c r="AS57" s="243"/>
      <c r="AT57" s="243"/>
      <c r="AU57" s="243"/>
      <c r="AV57" s="243"/>
    </row>
    <row r="58" spans="4:48">
      <c r="D58" s="172">
        <v>4600</v>
      </c>
      <c r="E58" s="172"/>
      <c r="F58" s="74" t="s">
        <v>250</v>
      </c>
      <c r="G58" s="75"/>
      <c r="H58" s="75"/>
      <c r="I58" s="75"/>
      <c r="J58" s="75"/>
      <c r="K58" s="75"/>
      <c r="L58" s="75"/>
      <c r="M58" s="75"/>
      <c r="N58" s="75"/>
      <c r="O58" s="79"/>
      <c r="P58" s="243"/>
      <c r="Q58" s="243"/>
      <c r="R58" s="243"/>
      <c r="S58" s="243"/>
      <c r="T58" s="238"/>
      <c r="U58" s="238"/>
      <c r="V58" s="238"/>
      <c r="W58" s="238"/>
      <c r="X58" s="238"/>
      <c r="Y58" s="238"/>
      <c r="Z58" s="238"/>
      <c r="AA58" s="238"/>
      <c r="AB58" s="244"/>
      <c r="AC58" s="244"/>
      <c r="AD58" s="244"/>
      <c r="AE58" s="244"/>
      <c r="AF58" s="238"/>
      <c r="AG58" s="238"/>
      <c r="AH58" s="238"/>
      <c r="AI58" s="238"/>
      <c r="AJ58" s="238"/>
      <c r="AK58" s="238"/>
      <c r="AL58" s="238"/>
      <c r="AM58" s="238"/>
      <c r="AN58" s="238"/>
      <c r="AO58" s="238"/>
      <c r="AP58" s="238"/>
      <c r="AQ58" s="238"/>
      <c r="AR58" s="243"/>
      <c r="AS58" s="243"/>
      <c r="AT58" s="243"/>
      <c r="AU58" s="243"/>
      <c r="AV58" s="243"/>
    </row>
    <row r="59" spans="4:48">
      <c r="D59" s="237"/>
      <c r="E59" s="237"/>
      <c r="F59" s="76" t="s">
        <v>251</v>
      </c>
      <c r="G59" s="75"/>
      <c r="H59" s="75"/>
      <c r="I59" s="75"/>
      <c r="J59" s="75"/>
      <c r="K59" s="75"/>
      <c r="L59" s="75"/>
      <c r="M59" s="75"/>
      <c r="N59" s="75"/>
      <c r="O59" s="79"/>
      <c r="P59" s="238"/>
      <c r="Q59" s="238"/>
      <c r="R59" s="238"/>
      <c r="S59" s="238"/>
      <c r="T59" s="238"/>
      <c r="U59" s="238"/>
      <c r="V59" s="238"/>
      <c r="W59" s="238"/>
      <c r="X59" s="238"/>
      <c r="Y59" s="238"/>
      <c r="Z59" s="238"/>
      <c r="AA59" s="238"/>
      <c r="AB59" s="238"/>
      <c r="AC59" s="238"/>
      <c r="AD59" s="238"/>
      <c r="AE59" s="238"/>
      <c r="AF59" s="238"/>
      <c r="AG59" s="238"/>
      <c r="AH59" s="238"/>
      <c r="AI59" s="238"/>
      <c r="AJ59" s="238"/>
      <c r="AK59" s="238"/>
      <c r="AL59" s="238"/>
      <c r="AM59" s="238"/>
      <c r="AN59" s="238"/>
      <c r="AO59" s="238"/>
      <c r="AP59" s="238"/>
      <c r="AQ59" s="238"/>
      <c r="AR59" s="238"/>
      <c r="AS59" s="238"/>
      <c r="AT59" s="238"/>
      <c r="AU59" s="238"/>
      <c r="AV59" s="238"/>
    </row>
    <row r="60" spans="4:48">
      <c r="D60" s="172">
        <v>5405</v>
      </c>
      <c r="E60" s="172"/>
      <c r="F60" s="74"/>
      <c r="G60" s="75" t="s">
        <v>252</v>
      </c>
      <c r="H60" s="75"/>
      <c r="I60" s="75"/>
      <c r="J60" s="75"/>
      <c r="K60" s="75"/>
      <c r="L60" s="75"/>
      <c r="M60" s="75"/>
      <c r="N60" s="75"/>
      <c r="O60" s="79"/>
      <c r="P60" s="243"/>
      <c r="Q60" s="243"/>
      <c r="R60" s="243"/>
      <c r="S60" s="243"/>
      <c r="T60" s="238"/>
      <c r="U60" s="238"/>
      <c r="V60" s="238"/>
      <c r="W60" s="238"/>
      <c r="X60" s="238"/>
      <c r="Y60" s="238"/>
      <c r="Z60" s="238"/>
      <c r="AA60" s="238"/>
      <c r="AB60" s="244"/>
      <c r="AC60" s="244"/>
      <c r="AD60" s="244"/>
      <c r="AE60" s="244"/>
      <c r="AF60" s="244"/>
      <c r="AG60" s="244"/>
      <c r="AH60" s="244"/>
      <c r="AI60" s="244"/>
      <c r="AJ60" s="244"/>
      <c r="AK60" s="244"/>
      <c r="AL60" s="244"/>
      <c r="AM60" s="244"/>
      <c r="AN60" s="244"/>
      <c r="AO60" s="244"/>
      <c r="AP60" s="244"/>
      <c r="AQ60" s="244"/>
      <c r="AR60" s="243"/>
      <c r="AS60" s="243"/>
      <c r="AT60" s="243"/>
      <c r="AU60" s="243"/>
      <c r="AV60" s="243"/>
    </row>
    <row r="61" spans="4:48">
      <c r="D61" s="172">
        <v>5409</v>
      </c>
      <c r="E61" s="172"/>
      <c r="F61" s="74"/>
      <c r="G61" s="75" t="s">
        <v>253</v>
      </c>
      <c r="H61" s="75"/>
      <c r="I61" s="75"/>
      <c r="J61" s="75"/>
      <c r="K61" s="75"/>
      <c r="L61" s="75"/>
      <c r="M61" s="75"/>
      <c r="N61" s="75"/>
      <c r="O61" s="79"/>
      <c r="P61" s="243"/>
      <c r="Q61" s="243"/>
      <c r="R61" s="243"/>
      <c r="S61" s="243"/>
      <c r="T61" s="238"/>
      <c r="U61" s="238"/>
      <c r="V61" s="238"/>
      <c r="W61" s="238"/>
      <c r="X61" s="238"/>
      <c r="Y61" s="238"/>
      <c r="Z61" s="238"/>
      <c r="AA61" s="238"/>
      <c r="AB61" s="244"/>
      <c r="AC61" s="244"/>
      <c r="AD61" s="244"/>
      <c r="AE61" s="244"/>
      <c r="AF61" s="244"/>
      <c r="AG61" s="244"/>
      <c r="AH61" s="244"/>
      <c r="AI61" s="244"/>
      <c r="AJ61" s="244"/>
      <c r="AK61" s="244"/>
      <c r="AL61" s="244"/>
      <c r="AM61" s="244"/>
      <c r="AN61" s="244"/>
      <c r="AO61" s="244"/>
      <c r="AP61" s="244"/>
      <c r="AQ61" s="244"/>
      <c r="AR61" s="243"/>
      <c r="AS61" s="243"/>
      <c r="AT61" s="243"/>
      <c r="AU61" s="243"/>
      <c r="AV61" s="243"/>
    </row>
    <row r="62" spans="4:48">
      <c r="D62" s="172">
        <v>5421</v>
      </c>
      <c r="E62" s="172"/>
      <c r="F62" s="74"/>
      <c r="G62" s="75" t="s">
        <v>254</v>
      </c>
      <c r="H62" s="75"/>
      <c r="I62" s="75"/>
      <c r="J62" s="75"/>
      <c r="K62" s="75"/>
      <c r="L62" s="75"/>
      <c r="M62" s="75"/>
      <c r="N62" s="75"/>
      <c r="O62" s="79"/>
      <c r="P62" s="243"/>
      <c r="Q62" s="243"/>
      <c r="R62" s="243"/>
      <c r="S62" s="243"/>
      <c r="T62" s="238"/>
      <c r="U62" s="238"/>
      <c r="V62" s="238"/>
      <c r="W62" s="238"/>
      <c r="X62" s="238"/>
      <c r="Y62" s="238"/>
      <c r="Z62" s="238"/>
      <c r="AA62" s="238"/>
      <c r="AB62" s="244"/>
      <c r="AC62" s="244"/>
      <c r="AD62" s="244"/>
      <c r="AE62" s="244"/>
      <c r="AF62" s="244"/>
      <c r="AG62" s="244"/>
      <c r="AH62" s="244"/>
      <c r="AI62" s="244"/>
      <c r="AJ62" s="244"/>
      <c r="AK62" s="244"/>
      <c r="AL62" s="244"/>
      <c r="AM62" s="244"/>
      <c r="AN62" s="244"/>
      <c r="AO62" s="244"/>
      <c r="AP62" s="244"/>
      <c r="AQ62" s="244"/>
      <c r="AR62" s="243"/>
      <c r="AS62" s="243"/>
      <c r="AT62" s="243"/>
      <c r="AU62" s="243"/>
      <c r="AV62" s="243"/>
    </row>
    <row r="63" spans="4:48">
      <c r="D63" s="172">
        <v>5499</v>
      </c>
      <c r="E63" s="172"/>
      <c r="F63" s="74"/>
      <c r="G63" s="75" t="s">
        <v>255</v>
      </c>
      <c r="H63" s="75"/>
      <c r="I63" s="75"/>
      <c r="J63" s="75"/>
      <c r="K63" s="75"/>
      <c r="L63" s="75"/>
      <c r="M63" s="75"/>
      <c r="N63" s="75"/>
      <c r="O63" s="79"/>
      <c r="P63" s="243"/>
      <c r="Q63" s="243"/>
      <c r="R63" s="243"/>
      <c r="S63" s="243"/>
      <c r="T63" s="238"/>
      <c r="U63" s="238"/>
      <c r="V63" s="238"/>
      <c r="W63" s="238"/>
      <c r="X63" s="238"/>
      <c r="Y63" s="238"/>
      <c r="Z63" s="238"/>
      <c r="AA63" s="238"/>
      <c r="AB63" s="244"/>
      <c r="AC63" s="244"/>
      <c r="AD63" s="244"/>
      <c r="AE63" s="244"/>
      <c r="AF63" s="244"/>
      <c r="AG63" s="244"/>
      <c r="AH63" s="244"/>
      <c r="AI63" s="244"/>
      <c r="AJ63" s="244"/>
      <c r="AK63" s="244"/>
      <c r="AL63" s="244"/>
      <c r="AM63" s="244"/>
      <c r="AN63" s="244"/>
      <c r="AO63" s="244"/>
      <c r="AP63" s="244"/>
      <c r="AQ63" s="244"/>
      <c r="AR63" s="243"/>
      <c r="AS63" s="243"/>
      <c r="AT63" s="243"/>
      <c r="AU63" s="243"/>
      <c r="AV63" s="243"/>
    </row>
    <row r="64" spans="4:48">
      <c r="D64" s="172">
        <v>5500</v>
      </c>
      <c r="E64" s="172"/>
      <c r="F64" s="74"/>
      <c r="G64" s="75" t="s">
        <v>256</v>
      </c>
      <c r="H64" s="75"/>
      <c r="I64" s="75"/>
      <c r="J64" s="75"/>
      <c r="K64" s="75"/>
      <c r="L64" s="75"/>
      <c r="M64" s="75"/>
      <c r="N64" s="75"/>
      <c r="O64" s="79"/>
      <c r="P64" s="243"/>
      <c r="Q64" s="243"/>
      <c r="R64" s="243"/>
      <c r="S64" s="243"/>
      <c r="T64" s="238"/>
      <c r="U64" s="238"/>
      <c r="V64" s="238"/>
      <c r="W64" s="238"/>
      <c r="X64" s="238"/>
      <c r="Y64" s="238"/>
      <c r="Z64" s="238"/>
      <c r="AA64" s="238"/>
      <c r="AB64" s="244"/>
      <c r="AC64" s="244"/>
      <c r="AD64" s="244"/>
      <c r="AE64" s="244"/>
      <c r="AF64" s="238"/>
      <c r="AG64" s="238"/>
      <c r="AH64" s="238"/>
      <c r="AI64" s="238"/>
      <c r="AJ64" s="238"/>
      <c r="AK64" s="238"/>
      <c r="AL64" s="238"/>
      <c r="AM64" s="238"/>
      <c r="AN64" s="238"/>
      <c r="AO64" s="238"/>
      <c r="AP64" s="238"/>
      <c r="AQ64" s="238"/>
      <c r="AR64" s="243"/>
      <c r="AS64" s="243"/>
      <c r="AT64" s="243"/>
      <c r="AU64" s="243"/>
      <c r="AV64" s="243"/>
    </row>
    <row r="65" spans="4:48">
      <c r="D65" s="172">
        <v>4700</v>
      </c>
      <c r="E65" s="172"/>
      <c r="F65" s="74" t="s">
        <v>257</v>
      </c>
      <c r="G65" s="75"/>
      <c r="H65" s="75"/>
      <c r="I65" s="75"/>
      <c r="J65" s="75"/>
      <c r="K65" s="75"/>
      <c r="L65" s="75"/>
      <c r="M65" s="75"/>
      <c r="N65" s="75"/>
      <c r="O65" s="79"/>
      <c r="P65" s="243"/>
      <c r="Q65" s="243"/>
      <c r="R65" s="243"/>
      <c r="S65" s="243"/>
      <c r="T65" s="238"/>
      <c r="U65" s="238"/>
      <c r="V65" s="238"/>
      <c r="W65" s="238"/>
      <c r="X65" s="238"/>
      <c r="Y65" s="238"/>
      <c r="Z65" s="238"/>
      <c r="AA65" s="238"/>
      <c r="AB65" s="244"/>
      <c r="AC65" s="244"/>
      <c r="AD65" s="244"/>
      <c r="AE65" s="244"/>
      <c r="AF65" s="238"/>
      <c r="AG65" s="238"/>
      <c r="AH65" s="238"/>
      <c r="AI65" s="238"/>
      <c r="AJ65" s="238"/>
      <c r="AK65" s="238"/>
      <c r="AL65" s="238"/>
      <c r="AM65" s="238"/>
      <c r="AN65" s="238"/>
      <c r="AO65" s="238"/>
      <c r="AP65" s="238"/>
      <c r="AQ65" s="238"/>
      <c r="AR65" s="243"/>
      <c r="AS65" s="243"/>
      <c r="AT65" s="243"/>
      <c r="AU65" s="243"/>
      <c r="AV65" s="243"/>
    </row>
    <row r="66" spans="4:48">
      <c r="D66" s="172">
        <v>4800</v>
      </c>
      <c r="E66" s="172"/>
      <c r="F66" s="74" t="s">
        <v>258</v>
      </c>
      <c r="G66" s="75"/>
      <c r="H66" s="75"/>
      <c r="I66" s="75"/>
      <c r="J66" s="75"/>
      <c r="K66" s="75"/>
      <c r="L66" s="75"/>
      <c r="M66" s="75"/>
      <c r="N66" s="75"/>
      <c r="O66" s="79"/>
      <c r="P66" s="243"/>
      <c r="Q66" s="243"/>
      <c r="R66" s="243"/>
      <c r="S66" s="243"/>
      <c r="T66" s="244"/>
      <c r="U66" s="244"/>
      <c r="V66" s="244"/>
      <c r="W66" s="244"/>
      <c r="X66" s="244"/>
      <c r="Y66" s="244"/>
      <c r="Z66" s="244"/>
      <c r="AA66" s="244"/>
      <c r="AB66" s="244"/>
      <c r="AC66" s="244"/>
      <c r="AD66" s="244"/>
      <c r="AE66" s="244"/>
      <c r="AF66" s="244"/>
      <c r="AG66" s="244"/>
      <c r="AH66" s="244"/>
      <c r="AI66" s="244"/>
      <c r="AJ66" s="244"/>
      <c r="AK66" s="244"/>
      <c r="AL66" s="244"/>
      <c r="AM66" s="244"/>
      <c r="AN66" s="81"/>
      <c r="AO66" s="82"/>
      <c r="AP66" s="48" t="s">
        <v>259</v>
      </c>
      <c r="AQ66" s="83"/>
      <c r="AR66" s="243"/>
      <c r="AS66" s="243"/>
      <c r="AT66" s="243"/>
      <c r="AU66" s="243"/>
      <c r="AV66" s="243"/>
    </row>
    <row r="67" spans="4:48">
      <c r="L67" s="36" t="s">
        <v>260</v>
      </c>
    </row>
    <row r="68" spans="4:48" ht="3" customHeight="1">
      <c r="D68" s="239"/>
      <c r="E68" s="239"/>
      <c r="F68" s="239"/>
      <c r="G68" s="239"/>
      <c r="H68" s="239"/>
      <c r="I68" s="239"/>
      <c r="J68" s="239"/>
      <c r="K68" s="239"/>
      <c r="L68" s="239"/>
      <c r="M68" s="239"/>
      <c r="N68" s="239"/>
      <c r="O68" s="239"/>
      <c r="P68" s="239"/>
      <c r="Q68" s="239"/>
      <c r="R68" s="239"/>
      <c r="S68" s="239"/>
      <c r="T68" s="239"/>
      <c r="U68" s="239"/>
      <c r="V68" s="239"/>
      <c r="W68" s="239"/>
      <c r="X68" s="239"/>
      <c r="Y68" s="239"/>
      <c r="Z68" s="239"/>
      <c r="AA68" s="239"/>
      <c r="AB68" s="239"/>
      <c r="AC68" s="239"/>
      <c r="AD68" s="239"/>
      <c r="AE68" s="239"/>
      <c r="AF68" s="239"/>
      <c r="AG68" s="239"/>
      <c r="AH68" s="239"/>
      <c r="AI68" s="239"/>
      <c r="AJ68" s="239"/>
      <c r="AK68" s="239"/>
      <c r="AL68" s="239"/>
      <c r="AM68" s="239"/>
      <c r="AN68" s="239"/>
      <c r="AO68" s="239"/>
      <c r="AP68" s="239"/>
      <c r="AQ68" s="239"/>
      <c r="AR68" s="239"/>
      <c r="AS68" s="239"/>
      <c r="AT68" s="239"/>
      <c r="AU68" s="239"/>
      <c r="AV68" s="239"/>
    </row>
    <row r="69" spans="4:48">
      <c r="D69" s="7" t="s">
        <v>35</v>
      </c>
      <c r="E69" s="8" t="s">
        <v>261</v>
      </c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  <c r="AE69" s="34"/>
      <c r="AF69" s="34"/>
      <c r="AG69" s="34"/>
      <c r="AH69" s="34"/>
      <c r="AI69" s="34"/>
      <c r="AJ69" s="34"/>
      <c r="AK69" s="34"/>
      <c r="AL69" s="34"/>
      <c r="AM69" s="34"/>
      <c r="AN69" s="34"/>
      <c r="AO69" s="34"/>
      <c r="AP69" s="34"/>
      <c r="AQ69" s="34"/>
      <c r="AR69" s="34"/>
      <c r="AS69" s="34"/>
      <c r="AT69" s="34"/>
      <c r="AU69" s="34"/>
      <c r="AV69" s="34"/>
    </row>
    <row r="70" spans="4:48" ht="3" customHeight="1"/>
    <row r="71" spans="4:48">
      <c r="D71" s="132" t="s">
        <v>191</v>
      </c>
      <c r="E71" s="132"/>
      <c r="F71" s="163" t="s">
        <v>192</v>
      </c>
      <c r="G71" s="151"/>
      <c r="H71" s="151"/>
      <c r="I71" s="151"/>
      <c r="J71" s="151"/>
      <c r="K71" s="151"/>
      <c r="L71" s="151"/>
      <c r="M71" s="151"/>
      <c r="N71" s="151"/>
      <c r="O71" s="151"/>
      <c r="P71" s="151"/>
      <c r="Q71" s="151"/>
      <c r="R71" s="151"/>
      <c r="S71" s="151"/>
      <c r="T71" s="151" t="s">
        <v>262</v>
      </c>
      <c r="U71" s="151"/>
      <c r="V71" s="151"/>
      <c r="W71" s="151"/>
      <c r="X71" s="239"/>
      <c r="Y71" s="239"/>
      <c r="Z71" s="239"/>
      <c r="AA71" s="239"/>
      <c r="AB71" s="132" t="s">
        <v>191</v>
      </c>
      <c r="AC71" s="132"/>
      <c r="AD71" s="163" t="s">
        <v>192</v>
      </c>
      <c r="AE71" s="151"/>
      <c r="AF71" s="151"/>
      <c r="AG71" s="151"/>
      <c r="AH71" s="151"/>
      <c r="AI71" s="151"/>
      <c r="AJ71" s="151"/>
      <c r="AK71" s="151"/>
      <c r="AL71" s="151"/>
      <c r="AM71" s="151"/>
      <c r="AN71" s="151"/>
      <c r="AO71" s="151"/>
      <c r="AP71" s="151"/>
      <c r="AQ71" s="151"/>
      <c r="AR71" s="151" t="s">
        <v>262</v>
      </c>
      <c r="AS71" s="151"/>
      <c r="AT71" s="151"/>
      <c r="AU71" s="151"/>
      <c r="AV71" s="151"/>
    </row>
    <row r="72" spans="4:48">
      <c r="D72" s="132"/>
      <c r="E72" s="132"/>
      <c r="F72" s="163"/>
      <c r="G72" s="151"/>
      <c r="H72" s="151"/>
      <c r="I72" s="151"/>
      <c r="J72" s="151"/>
      <c r="K72" s="151"/>
      <c r="L72" s="151"/>
      <c r="M72" s="151"/>
      <c r="N72" s="151"/>
      <c r="O72" s="151"/>
      <c r="P72" s="151"/>
      <c r="Q72" s="151"/>
      <c r="R72" s="151"/>
      <c r="S72" s="151"/>
      <c r="T72" s="151"/>
      <c r="U72" s="151"/>
      <c r="V72" s="151"/>
      <c r="W72" s="151"/>
      <c r="X72" s="239"/>
      <c r="Y72" s="239"/>
      <c r="Z72" s="239"/>
      <c r="AA72" s="239"/>
      <c r="AB72" s="132"/>
      <c r="AC72" s="132"/>
      <c r="AD72" s="163"/>
      <c r="AE72" s="151"/>
      <c r="AF72" s="151"/>
      <c r="AG72" s="151"/>
      <c r="AH72" s="151"/>
      <c r="AI72" s="151"/>
      <c r="AJ72" s="151"/>
      <c r="AK72" s="151"/>
      <c r="AL72" s="151"/>
      <c r="AM72" s="151"/>
      <c r="AN72" s="151"/>
      <c r="AO72" s="151"/>
      <c r="AP72" s="151"/>
      <c r="AQ72" s="151"/>
      <c r="AR72" s="151"/>
      <c r="AS72" s="151"/>
      <c r="AT72" s="151"/>
      <c r="AU72" s="151"/>
      <c r="AV72" s="151"/>
    </row>
    <row r="73" spans="4:48">
      <c r="D73" s="132"/>
      <c r="E73" s="132"/>
      <c r="F73" s="141"/>
      <c r="G73" s="174"/>
      <c r="H73" s="174"/>
      <c r="I73" s="174"/>
      <c r="J73" s="174"/>
      <c r="K73" s="174"/>
      <c r="L73" s="174"/>
      <c r="M73" s="174"/>
      <c r="N73" s="174"/>
      <c r="O73" s="174"/>
      <c r="P73" s="174"/>
      <c r="Q73" s="174"/>
      <c r="R73" s="174"/>
      <c r="S73" s="174"/>
      <c r="T73" s="174"/>
      <c r="U73" s="174"/>
      <c r="V73" s="174"/>
      <c r="W73" s="174"/>
      <c r="X73" s="239"/>
      <c r="Y73" s="239"/>
      <c r="Z73" s="239"/>
      <c r="AA73" s="239"/>
      <c r="AB73" s="164"/>
      <c r="AC73" s="164"/>
      <c r="AD73" s="141"/>
      <c r="AE73" s="174"/>
      <c r="AF73" s="174"/>
      <c r="AG73" s="174"/>
      <c r="AH73" s="174"/>
      <c r="AI73" s="174"/>
      <c r="AJ73" s="174"/>
      <c r="AK73" s="174"/>
      <c r="AL73" s="174"/>
      <c r="AM73" s="174"/>
      <c r="AN73" s="174"/>
      <c r="AO73" s="174"/>
      <c r="AP73" s="174"/>
      <c r="AQ73" s="174"/>
      <c r="AR73" s="174"/>
      <c r="AS73" s="174"/>
      <c r="AT73" s="174"/>
      <c r="AU73" s="174"/>
      <c r="AV73" s="174"/>
    </row>
    <row r="74" spans="4:48">
      <c r="D74" s="240" t="s">
        <v>201</v>
      </c>
      <c r="E74" s="231"/>
      <c r="F74" s="241" t="s">
        <v>202</v>
      </c>
      <c r="G74" s="231"/>
      <c r="H74" s="231"/>
      <c r="I74" s="231"/>
      <c r="J74" s="231"/>
      <c r="K74" s="231"/>
      <c r="L74" s="231"/>
      <c r="M74" s="231"/>
      <c r="N74" s="231"/>
      <c r="O74" s="231"/>
      <c r="P74" s="231"/>
      <c r="Q74" s="231"/>
      <c r="R74" s="231"/>
      <c r="S74" s="231"/>
      <c r="T74" s="240" t="s">
        <v>203</v>
      </c>
      <c r="U74" s="231"/>
      <c r="V74" s="231"/>
      <c r="W74" s="231"/>
      <c r="X74" s="242"/>
      <c r="Y74" s="242"/>
      <c r="Z74" s="242"/>
      <c r="AA74" s="242"/>
      <c r="AB74" s="240" t="s">
        <v>201</v>
      </c>
      <c r="AC74" s="231"/>
      <c r="AD74" s="240" t="s">
        <v>202</v>
      </c>
      <c r="AE74" s="231"/>
      <c r="AF74" s="231"/>
      <c r="AG74" s="231"/>
      <c r="AH74" s="231"/>
      <c r="AI74" s="231"/>
      <c r="AJ74" s="231"/>
      <c r="AK74" s="231"/>
      <c r="AL74" s="231"/>
      <c r="AM74" s="231"/>
      <c r="AN74" s="231"/>
      <c r="AO74" s="231"/>
      <c r="AP74" s="231"/>
      <c r="AQ74" s="231"/>
      <c r="AR74" s="240" t="s">
        <v>203</v>
      </c>
      <c r="AS74" s="231"/>
      <c r="AT74" s="231"/>
      <c r="AU74" s="231"/>
      <c r="AV74" s="231"/>
    </row>
    <row r="75" spans="4:48">
      <c r="D75" s="237"/>
      <c r="E75" s="237"/>
      <c r="F75" s="77" t="s">
        <v>263</v>
      </c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80"/>
      <c r="T75" s="238"/>
      <c r="U75" s="238"/>
      <c r="V75" s="238"/>
      <c r="W75" s="238"/>
      <c r="X75" s="239"/>
      <c r="Y75" s="239"/>
      <c r="Z75" s="239"/>
      <c r="AA75" s="239"/>
      <c r="AB75" s="237"/>
      <c r="AC75" s="237"/>
      <c r="AD75" s="236" t="s">
        <v>264</v>
      </c>
      <c r="AE75" s="236"/>
      <c r="AF75" s="236"/>
      <c r="AG75" s="236"/>
      <c r="AH75" s="236"/>
      <c r="AI75" s="236"/>
      <c r="AJ75" s="236"/>
      <c r="AK75" s="236"/>
      <c r="AL75" s="236"/>
      <c r="AM75" s="236"/>
      <c r="AN75" s="236"/>
      <c r="AO75" s="236"/>
      <c r="AP75" s="236"/>
      <c r="AQ75" s="236"/>
      <c r="AR75" s="238"/>
      <c r="AS75" s="238"/>
      <c r="AT75" s="238"/>
      <c r="AU75" s="238"/>
      <c r="AV75" s="238"/>
    </row>
    <row r="76" spans="4:48">
      <c r="D76" s="231">
        <v>1101</v>
      </c>
      <c r="E76" s="231"/>
      <c r="F76" s="78" t="s">
        <v>265</v>
      </c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80"/>
      <c r="T76" s="232"/>
      <c r="U76" s="232"/>
      <c r="V76" s="232"/>
      <c r="W76" s="232"/>
      <c r="X76" s="239"/>
      <c r="Y76" s="239"/>
      <c r="Z76" s="239"/>
      <c r="AA76" s="239"/>
      <c r="AB76" s="231">
        <v>2102</v>
      </c>
      <c r="AC76" s="231"/>
      <c r="AD76" s="235" t="s">
        <v>266</v>
      </c>
      <c r="AE76" s="235"/>
      <c r="AF76" s="235"/>
      <c r="AG76" s="235"/>
      <c r="AH76" s="235"/>
      <c r="AI76" s="235"/>
      <c r="AJ76" s="235"/>
      <c r="AK76" s="235"/>
      <c r="AL76" s="235"/>
      <c r="AM76" s="235"/>
      <c r="AN76" s="235"/>
      <c r="AO76" s="235"/>
      <c r="AP76" s="235"/>
      <c r="AQ76" s="235"/>
      <c r="AR76" s="232"/>
      <c r="AS76" s="232"/>
      <c r="AT76" s="232"/>
      <c r="AU76" s="232"/>
      <c r="AV76" s="232"/>
    </row>
    <row r="77" spans="4:48">
      <c r="D77" s="231">
        <v>1122</v>
      </c>
      <c r="E77" s="231"/>
      <c r="F77" s="78" t="s">
        <v>267</v>
      </c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80"/>
      <c r="T77" s="232"/>
      <c r="U77" s="232"/>
      <c r="V77" s="232"/>
      <c r="W77" s="232"/>
      <c r="X77" s="239"/>
      <c r="Y77" s="239"/>
      <c r="Z77" s="239"/>
      <c r="AA77" s="239"/>
      <c r="AB77" s="231">
        <v>2103</v>
      </c>
      <c r="AC77" s="231"/>
      <c r="AD77" s="235" t="s">
        <v>268</v>
      </c>
      <c r="AE77" s="235"/>
      <c r="AF77" s="235"/>
      <c r="AG77" s="235"/>
      <c r="AH77" s="235"/>
      <c r="AI77" s="235"/>
      <c r="AJ77" s="235"/>
      <c r="AK77" s="235"/>
      <c r="AL77" s="235"/>
      <c r="AM77" s="235"/>
      <c r="AN77" s="235"/>
      <c r="AO77" s="235"/>
      <c r="AP77" s="235"/>
      <c r="AQ77" s="235"/>
      <c r="AR77" s="232"/>
      <c r="AS77" s="232"/>
      <c r="AT77" s="232"/>
      <c r="AU77" s="232"/>
      <c r="AV77" s="232"/>
    </row>
    <row r="78" spans="4:48">
      <c r="D78" s="231">
        <v>1123</v>
      </c>
      <c r="E78" s="231"/>
      <c r="F78" s="78" t="s">
        <v>269</v>
      </c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80"/>
      <c r="T78" s="232"/>
      <c r="U78" s="232"/>
      <c r="V78" s="232"/>
      <c r="W78" s="232"/>
      <c r="X78" s="239"/>
      <c r="Y78" s="239"/>
      <c r="Z78" s="239"/>
      <c r="AA78" s="239"/>
      <c r="AB78" s="231">
        <v>2111</v>
      </c>
      <c r="AC78" s="231"/>
      <c r="AD78" s="235" t="s">
        <v>270</v>
      </c>
      <c r="AE78" s="235"/>
      <c r="AF78" s="235"/>
      <c r="AG78" s="235"/>
      <c r="AH78" s="235"/>
      <c r="AI78" s="235"/>
      <c r="AJ78" s="235"/>
      <c r="AK78" s="235"/>
      <c r="AL78" s="235"/>
      <c r="AM78" s="235"/>
      <c r="AN78" s="235"/>
      <c r="AO78" s="235"/>
      <c r="AP78" s="235"/>
      <c r="AQ78" s="235"/>
      <c r="AR78" s="232"/>
      <c r="AS78" s="232"/>
      <c r="AT78" s="232"/>
      <c r="AU78" s="232"/>
      <c r="AV78" s="232"/>
    </row>
    <row r="79" spans="4:48">
      <c r="D79" s="231">
        <v>1124</v>
      </c>
      <c r="E79" s="231"/>
      <c r="F79" s="78" t="s">
        <v>271</v>
      </c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80"/>
      <c r="T79" s="232"/>
      <c r="U79" s="232"/>
      <c r="V79" s="232"/>
      <c r="W79" s="232"/>
      <c r="X79" s="239"/>
      <c r="Y79" s="239"/>
      <c r="Z79" s="239"/>
      <c r="AA79" s="239"/>
      <c r="AB79" s="231">
        <v>2186</v>
      </c>
      <c r="AC79" s="231"/>
      <c r="AD79" s="235" t="s">
        <v>272</v>
      </c>
      <c r="AE79" s="235"/>
      <c r="AF79" s="235"/>
      <c r="AG79" s="235"/>
      <c r="AH79" s="235"/>
      <c r="AI79" s="235"/>
      <c r="AJ79" s="235"/>
      <c r="AK79" s="235"/>
      <c r="AL79" s="235"/>
      <c r="AM79" s="235"/>
      <c r="AN79" s="235"/>
      <c r="AO79" s="235"/>
      <c r="AP79" s="235"/>
      <c r="AQ79" s="235"/>
      <c r="AR79" s="232"/>
      <c r="AS79" s="232"/>
      <c r="AT79" s="232"/>
      <c r="AU79" s="232"/>
      <c r="AV79" s="232"/>
    </row>
    <row r="80" spans="4:48">
      <c r="D80" s="231">
        <v>1125</v>
      </c>
      <c r="E80" s="231"/>
      <c r="F80" s="78" t="s">
        <v>273</v>
      </c>
      <c r="G80" s="78"/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80"/>
      <c r="T80" s="232"/>
      <c r="U80" s="232"/>
      <c r="V80" s="232"/>
      <c r="W80" s="232"/>
      <c r="X80" s="239"/>
      <c r="Y80" s="239"/>
      <c r="Z80" s="239"/>
      <c r="AA80" s="239"/>
      <c r="AB80" s="231">
        <v>2187</v>
      </c>
      <c r="AC80" s="231"/>
      <c r="AD80" s="235" t="s">
        <v>274</v>
      </c>
      <c r="AE80" s="235"/>
      <c r="AF80" s="235"/>
      <c r="AG80" s="235"/>
      <c r="AH80" s="235"/>
      <c r="AI80" s="235"/>
      <c r="AJ80" s="235"/>
      <c r="AK80" s="235"/>
      <c r="AL80" s="235"/>
      <c r="AM80" s="235"/>
      <c r="AN80" s="235"/>
      <c r="AO80" s="235"/>
      <c r="AP80" s="235"/>
      <c r="AQ80" s="235"/>
      <c r="AR80" s="232"/>
      <c r="AS80" s="232"/>
      <c r="AT80" s="232"/>
      <c r="AU80" s="232"/>
      <c r="AV80" s="232"/>
    </row>
    <row r="81" spans="4:48">
      <c r="D81" s="231">
        <v>1131</v>
      </c>
      <c r="E81" s="231"/>
      <c r="F81" s="78"/>
      <c r="G81" s="84" t="s">
        <v>275</v>
      </c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80"/>
      <c r="T81" s="232">
        <v>-1</v>
      </c>
      <c r="U81" s="232"/>
      <c r="V81" s="232"/>
      <c r="W81" s="232"/>
      <c r="X81" s="239"/>
      <c r="Y81" s="239"/>
      <c r="Z81" s="239"/>
      <c r="AA81" s="239"/>
      <c r="AB81" s="231">
        <v>2191</v>
      </c>
      <c r="AC81" s="231"/>
      <c r="AD81" s="235" t="s">
        <v>276</v>
      </c>
      <c r="AE81" s="235"/>
      <c r="AF81" s="235"/>
      <c r="AG81" s="235"/>
      <c r="AH81" s="235"/>
      <c r="AI81" s="235"/>
      <c r="AJ81" s="235"/>
      <c r="AK81" s="235"/>
      <c r="AL81" s="235"/>
      <c r="AM81" s="235"/>
      <c r="AN81" s="235"/>
      <c r="AO81" s="235"/>
      <c r="AP81" s="235"/>
      <c r="AQ81" s="235"/>
      <c r="AR81" s="232"/>
      <c r="AS81" s="232"/>
      <c r="AT81" s="232"/>
      <c r="AU81" s="232"/>
      <c r="AV81" s="232"/>
    </row>
    <row r="82" spans="4:48">
      <c r="D82" s="231">
        <v>1181</v>
      </c>
      <c r="E82" s="231"/>
      <c r="F82" s="78" t="s">
        <v>277</v>
      </c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80"/>
      <c r="T82" s="232"/>
      <c r="U82" s="232"/>
      <c r="V82" s="232"/>
      <c r="W82" s="232"/>
      <c r="X82" s="239"/>
      <c r="Y82" s="239"/>
      <c r="Z82" s="239"/>
      <c r="AA82" s="239"/>
      <c r="AB82" s="231">
        <v>2192</v>
      </c>
      <c r="AC82" s="231"/>
      <c r="AD82" s="235" t="s">
        <v>278</v>
      </c>
      <c r="AE82" s="235"/>
      <c r="AF82" s="235"/>
      <c r="AG82" s="235"/>
      <c r="AH82" s="235"/>
      <c r="AI82" s="235"/>
      <c r="AJ82" s="235"/>
      <c r="AK82" s="235"/>
      <c r="AL82" s="235"/>
      <c r="AM82" s="235"/>
      <c r="AN82" s="235"/>
      <c r="AO82" s="235"/>
      <c r="AP82" s="235"/>
      <c r="AQ82" s="235"/>
      <c r="AR82" s="232"/>
      <c r="AS82" s="232"/>
      <c r="AT82" s="232"/>
      <c r="AU82" s="232"/>
      <c r="AV82" s="232"/>
    </row>
    <row r="83" spans="4:48">
      <c r="D83" s="231">
        <v>1200</v>
      </c>
      <c r="E83" s="231"/>
      <c r="F83" s="78" t="s">
        <v>279</v>
      </c>
      <c r="G83" s="78"/>
      <c r="H83" s="78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80"/>
      <c r="T83" s="232"/>
      <c r="U83" s="232"/>
      <c r="V83" s="232"/>
      <c r="W83" s="232"/>
      <c r="X83" s="239"/>
      <c r="Y83" s="239"/>
      <c r="Z83" s="239"/>
      <c r="AA83" s="239"/>
      <c r="AB83" s="231">
        <v>2195</v>
      </c>
      <c r="AC83" s="231"/>
      <c r="AD83" s="235" t="s">
        <v>280</v>
      </c>
      <c r="AE83" s="235"/>
      <c r="AF83" s="235"/>
      <c r="AG83" s="235"/>
      <c r="AH83" s="235"/>
      <c r="AI83" s="235"/>
      <c r="AJ83" s="235"/>
      <c r="AK83" s="235"/>
      <c r="AL83" s="235"/>
      <c r="AM83" s="235"/>
      <c r="AN83" s="235"/>
      <c r="AO83" s="235"/>
      <c r="AP83" s="235"/>
      <c r="AQ83" s="235"/>
      <c r="AR83" s="232"/>
      <c r="AS83" s="232"/>
      <c r="AT83" s="232"/>
      <c r="AU83" s="232"/>
      <c r="AV83" s="232"/>
    </row>
    <row r="84" spans="4:48">
      <c r="D84" s="231">
        <v>1401</v>
      </c>
      <c r="E84" s="231"/>
      <c r="F84" s="78" t="s">
        <v>281</v>
      </c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80"/>
      <c r="T84" s="232"/>
      <c r="U84" s="232"/>
      <c r="V84" s="232"/>
      <c r="W84" s="232"/>
      <c r="X84" s="239"/>
      <c r="Y84" s="239"/>
      <c r="Z84" s="239"/>
      <c r="AA84" s="239"/>
      <c r="AB84" s="231">
        <v>2201</v>
      </c>
      <c r="AC84" s="231"/>
      <c r="AD84" s="235" t="s">
        <v>282</v>
      </c>
      <c r="AE84" s="235"/>
      <c r="AF84" s="235"/>
      <c r="AG84" s="235"/>
      <c r="AH84" s="235"/>
      <c r="AI84" s="235"/>
      <c r="AJ84" s="235"/>
      <c r="AK84" s="235"/>
      <c r="AL84" s="235"/>
      <c r="AM84" s="235"/>
      <c r="AN84" s="235"/>
      <c r="AO84" s="235"/>
      <c r="AP84" s="235"/>
      <c r="AQ84" s="235"/>
      <c r="AR84" s="232"/>
      <c r="AS84" s="232"/>
      <c r="AT84" s="232"/>
      <c r="AU84" s="232"/>
      <c r="AV84" s="232"/>
    </row>
    <row r="85" spans="4:48">
      <c r="D85" s="231">
        <v>1421</v>
      </c>
      <c r="E85" s="231"/>
      <c r="F85" s="78" t="s">
        <v>283</v>
      </c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80"/>
      <c r="T85" s="232"/>
      <c r="U85" s="232"/>
      <c r="V85" s="232"/>
      <c r="W85" s="232"/>
      <c r="X85" s="239"/>
      <c r="Y85" s="239"/>
      <c r="Z85" s="239"/>
      <c r="AA85" s="239"/>
      <c r="AB85" s="231">
        <v>2202</v>
      </c>
      <c r="AC85" s="231"/>
      <c r="AD85" s="235" t="s">
        <v>284</v>
      </c>
      <c r="AE85" s="235"/>
      <c r="AF85" s="235"/>
      <c r="AG85" s="235"/>
      <c r="AH85" s="235"/>
      <c r="AI85" s="235"/>
      <c r="AJ85" s="235"/>
      <c r="AK85" s="235"/>
      <c r="AL85" s="235"/>
      <c r="AM85" s="235"/>
      <c r="AN85" s="235"/>
      <c r="AO85" s="235"/>
      <c r="AP85" s="235"/>
      <c r="AQ85" s="235"/>
      <c r="AR85" s="232"/>
      <c r="AS85" s="232"/>
      <c r="AT85" s="232"/>
      <c r="AU85" s="232"/>
      <c r="AV85" s="232"/>
    </row>
    <row r="86" spans="4:48">
      <c r="D86" s="231">
        <v>1423</v>
      </c>
      <c r="E86" s="231"/>
      <c r="F86" s="78" t="s">
        <v>285</v>
      </c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80"/>
      <c r="T86" s="232"/>
      <c r="U86" s="232"/>
      <c r="V86" s="232"/>
      <c r="W86" s="232"/>
      <c r="X86" s="239"/>
      <c r="Y86" s="239"/>
      <c r="Z86" s="239"/>
      <c r="AA86" s="239"/>
      <c r="AB86" s="231">
        <v>2203</v>
      </c>
      <c r="AC86" s="231"/>
      <c r="AD86" s="235" t="s">
        <v>286</v>
      </c>
      <c r="AE86" s="235"/>
      <c r="AF86" s="235"/>
      <c r="AG86" s="235"/>
      <c r="AH86" s="235"/>
      <c r="AI86" s="235"/>
      <c r="AJ86" s="235"/>
      <c r="AK86" s="235"/>
      <c r="AL86" s="235"/>
      <c r="AM86" s="235"/>
      <c r="AN86" s="235"/>
      <c r="AO86" s="235"/>
      <c r="AP86" s="235"/>
      <c r="AQ86" s="235"/>
      <c r="AR86" s="232"/>
      <c r="AS86" s="232"/>
      <c r="AT86" s="232"/>
      <c r="AU86" s="232"/>
      <c r="AV86" s="232"/>
    </row>
    <row r="87" spans="4:48">
      <c r="D87" s="231">
        <v>1405</v>
      </c>
      <c r="E87" s="231"/>
      <c r="F87" s="78" t="s">
        <v>287</v>
      </c>
      <c r="G87" s="78"/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80"/>
      <c r="T87" s="232"/>
      <c r="U87" s="232"/>
      <c r="V87" s="232"/>
      <c r="W87" s="232"/>
      <c r="X87" s="239"/>
      <c r="Y87" s="239"/>
      <c r="Z87" s="239"/>
      <c r="AA87" s="239"/>
      <c r="AB87" s="231">
        <v>2228</v>
      </c>
      <c r="AC87" s="231"/>
      <c r="AD87" s="235" t="s">
        <v>288</v>
      </c>
      <c r="AE87" s="235"/>
      <c r="AF87" s="235"/>
      <c r="AG87" s="235"/>
      <c r="AH87" s="235"/>
      <c r="AI87" s="235"/>
      <c r="AJ87" s="235"/>
      <c r="AK87" s="235"/>
      <c r="AL87" s="235"/>
      <c r="AM87" s="235"/>
      <c r="AN87" s="235"/>
      <c r="AO87" s="235"/>
      <c r="AP87" s="235"/>
      <c r="AQ87" s="235"/>
      <c r="AR87" s="232"/>
      <c r="AS87" s="232"/>
      <c r="AT87" s="232"/>
      <c r="AU87" s="232"/>
      <c r="AV87" s="232"/>
    </row>
    <row r="88" spans="4:48">
      <c r="D88" s="231">
        <v>1422</v>
      </c>
      <c r="E88" s="231"/>
      <c r="F88" s="78" t="s">
        <v>289</v>
      </c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80"/>
      <c r="T88" s="232"/>
      <c r="U88" s="232"/>
      <c r="V88" s="232"/>
      <c r="W88" s="232"/>
      <c r="X88" s="239"/>
      <c r="Y88" s="239"/>
      <c r="Z88" s="239"/>
      <c r="AA88" s="239"/>
      <c r="AB88" s="237"/>
      <c r="AC88" s="237"/>
      <c r="AD88" s="235" t="s">
        <v>290</v>
      </c>
      <c r="AE88" s="235"/>
      <c r="AF88" s="235"/>
      <c r="AG88" s="235"/>
      <c r="AH88" s="235"/>
      <c r="AI88" s="235"/>
      <c r="AJ88" s="235"/>
      <c r="AK88" s="235"/>
      <c r="AL88" s="235"/>
      <c r="AM88" s="235"/>
      <c r="AN88" s="235"/>
      <c r="AO88" s="235"/>
      <c r="AP88" s="235"/>
      <c r="AQ88" s="235"/>
      <c r="AR88" s="238"/>
      <c r="AS88" s="238"/>
      <c r="AT88" s="238"/>
      <c r="AU88" s="238"/>
      <c r="AV88" s="238"/>
    </row>
    <row r="89" spans="4:48">
      <c r="D89" s="231">
        <v>1499</v>
      </c>
      <c r="E89" s="231"/>
      <c r="F89" s="78" t="s">
        <v>291</v>
      </c>
      <c r="G89" s="78"/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80"/>
      <c r="T89" s="232"/>
      <c r="U89" s="232"/>
      <c r="V89" s="232"/>
      <c r="W89" s="232"/>
      <c r="X89" s="239"/>
      <c r="Y89" s="239"/>
      <c r="Z89" s="239"/>
      <c r="AA89" s="239"/>
      <c r="AB89" s="231">
        <v>2301</v>
      </c>
      <c r="AC89" s="231"/>
      <c r="AD89" s="235" t="s">
        <v>292</v>
      </c>
      <c r="AE89" s="235"/>
      <c r="AF89" s="235"/>
      <c r="AG89" s="235"/>
      <c r="AH89" s="235"/>
      <c r="AI89" s="235"/>
      <c r="AJ89" s="235"/>
      <c r="AK89" s="235"/>
      <c r="AL89" s="235"/>
      <c r="AM89" s="235"/>
      <c r="AN89" s="235"/>
      <c r="AO89" s="235"/>
      <c r="AP89" s="235"/>
      <c r="AQ89" s="235"/>
      <c r="AR89" s="232"/>
      <c r="AS89" s="232"/>
      <c r="AT89" s="232"/>
      <c r="AU89" s="232"/>
      <c r="AV89" s="232"/>
    </row>
    <row r="90" spans="4:48">
      <c r="D90" s="237"/>
      <c r="E90" s="237"/>
      <c r="F90" s="77" t="s">
        <v>293</v>
      </c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80"/>
      <c r="T90" s="238"/>
      <c r="U90" s="238"/>
      <c r="V90" s="238"/>
      <c r="W90" s="238"/>
      <c r="X90" s="239"/>
      <c r="Y90" s="239"/>
      <c r="Z90" s="239"/>
      <c r="AA90" s="239"/>
      <c r="AB90" s="231">
        <v>2303</v>
      </c>
      <c r="AC90" s="231"/>
      <c r="AD90" s="235" t="s">
        <v>294</v>
      </c>
      <c r="AE90" s="235"/>
      <c r="AF90" s="235"/>
      <c r="AG90" s="235"/>
      <c r="AH90" s="235"/>
      <c r="AI90" s="235"/>
      <c r="AJ90" s="235"/>
      <c r="AK90" s="235"/>
      <c r="AL90" s="235"/>
      <c r="AM90" s="235"/>
      <c r="AN90" s="235"/>
      <c r="AO90" s="235"/>
      <c r="AP90" s="235"/>
      <c r="AQ90" s="235"/>
      <c r="AR90" s="232"/>
      <c r="AS90" s="232"/>
      <c r="AT90" s="232"/>
      <c r="AU90" s="232"/>
      <c r="AV90" s="232"/>
    </row>
    <row r="91" spans="4:48">
      <c r="D91" s="231">
        <v>1501</v>
      </c>
      <c r="E91" s="231"/>
      <c r="F91" s="78" t="s">
        <v>295</v>
      </c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80"/>
      <c r="T91" s="232"/>
      <c r="U91" s="232"/>
      <c r="V91" s="232"/>
      <c r="W91" s="232"/>
      <c r="AB91" s="231">
        <v>2304</v>
      </c>
      <c r="AC91" s="231"/>
      <c r="AD91" s="235" t="s">
        <v>296</v>
      </c>
      <c r="AE91" s="235"/>
      <c r="AF91" s="235"/>
      <c r="AG91" s="235"/>
      <c r="AH91" s="235"/>
      <c r="AI91" s="235"/>
      <c r="AJ91" s="235"/>
      <c r="AK91" s="235"/>
      <c r="AL91" s="235"/>
      <c r="AM91" s="235"/>
      <c r="AN91" s="235"/>
      <c r="AO91" s="235"/>
      <c r="AP91" s="235"/>
      <c r="AQ91" s="235"/>
      <c r="AR91" s="232"/>
      <c r="AS91" s="232"/>
      <c r="AT91" s="232"/>
      <c r="AU91" s="232"/>
      <c r="AV91" s="232"/>
    </row>
    <row r="92" spans="4:48">
      <c r="D92" s="231">
        <v>1520</v>
      </c>
      <c r="E92" s="231"/>
      <c r="F92" s="78" t="s">
        <v>297</v>
      </c>
      <c r="G92" s="78"/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80"/>
      <c r="T92" s="232"/>
      <c r="U92" s="232"/>
      <c r="V92" s="232"/>
      <c r="W92" s="232"/>
      <c r="AB92" s="231">
        <v>2312</v>
      </c>
      <c r="AC92" s="231"/>
      <c r="AD92" s="235" t="s">
        <v>298</v>
      </c>
      <c r="AE92" s="235"/>
      <c r="AF92" s="235"/>
      <c r="AG92" s="235"/>
      <c r="AH92" s="235"/>
      <c r="AI92" s="235"/>
      <c r="AJ92" s="235"/>
      <c r="AK92" s="235"/>
      <c r="AL92" s="235"/>
      <c r="AM92" s="235"/>
      <c r="AN92" s="235"/>
      <c r="AO92" s="235"/>
      <c r="AP92" s="235"/>
      <c r="AQ92" s="235"/>
      <c r="AR92" s="232"/>
      <c r="AS92" s="232"/>
      <c r="AT92" s="232"/>
      <c r="AU92" s="232"/>
      <c r="AV92" s="232"/>
    </row>
    <row r="93" spans="4:48">
      <c r="D93" s="231">
        <v>1523</v>
      </c>
      <c r="E93" s="231"/>
      <c r="F93" s="78" t="s">
        <v>299</v>
      </c>
      <c r="G93" s="78"/>
      <c r="H93" s="78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80"/>
      <c r="T93" s="232"/>
      <c r="U93" s="232"/>
      <c r="V93" s="232"/>
      <c r="W93" s="232"/>
      <c r="AB93" s="231">
        <v>2322</v>
      </c>
      <c r="AC93" s="231"/>
      <c r="AD93" s="235" t="s">
        <v>300</v>
      </c>
      <c r="AE93" s="235"/>
      <c r="AF93" s="235"/>
      <c r="AG93" s="235"/>
      <c r="AH93" s="235"/>
      <c r="AI93" s="235"/>
      <c r="AJ93" s="235"/>
      <c r="AK93" s="235"/>
      <c r="AL93" s="235"/>
      <c r="AM93" s="235"/>
      <c r="AN93" s="235"/>
      <c r="AO93" s="235"/>
      <c r="AP93" s="235"/>
      <c r="AQ93" s="235"/>
      <c r="AR93" s="232"/>
      <c r="AS93" s="232"/>
      <c r="AT93" s="232"/>
      <c r="AU93" s="232"/>
      <c r="AV93" s="232"/>
    </row>
    <row r="94" spans="4:48">
      <c r="D94" s="231">
        <v>1524</v>
      </c>
      <c r="E94" s="231"/>
      <c r="F94" s="78"/>
      <c r="G94" s="84" t="s">
        <v>301</v>
      </c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80"/>
      <c r="T94" s="232">
        <v>-1</v>
      </c>
      <c r="U94" s="232"/>
      <c r="V94" s="232"/>
      <c r="W94" s="232"/>
      <c r="AB94" s="231">
        <v>2321</v>
      </c>
      <c r="AC94" s="231"/>
      <c r="AD94" s="235" t="s">
        <v>302</v>
      </c>
      <c r="AE94" s="235"/>
      <c r="AF94" s="235"/>
      <c r="AG94" s="235"/>
      <c r="AH94" s="235"/>
      <c r="AI94" s="235"/>
      <c r="AJ94" s="235"/>
      <c r="AK94" s="235"/>
      <c r="AL94" s="235"/>
      <c r="AM94" s="235"/>
      <c r="AN94" s="235"/>
      <c r="AO94" s="235"/>
      <c r="AP94" s="235"/>
      <c r="AQ94" s="235"/>
      <c r="AR94" s="232"/>
      <c r="AS94" s="232"/>
      <c r="AT94" s="232"/>
      <c r="AU94" s="232"/>
      <c r="AV94" s="232"/>
    </row>
    <row r="95" spans="4:48">
      <c r="D95" s="231">
        <v>1529</v>
      </c>
      <c r="E95" s="231"/>
      <c r="F95" s="78" t="s">
        <v>303</v>
      </c>
      <c r="G95" s="78"/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80"/>
      <c r="T95" s="232"/>
      <c r="U95" s="232"/>
      <c r="V95" s="232"/>
      <c r="W95" s="232"/>
      <c r="AB95" s="231">
        <v>2998</v>
      </c>
      <c r="AC95" s="231"/>
      <c r="AD95" s="235" t="s">
        <v>304</v>
      </c>
      <c r="AE95" s="235"/>
      <c r="AF95" s="235"/>
      <c r="AG95" s="235"/>
      <c r="AH95" s="235"/>
      <c r="AI95" s="235"/>
      <c r="AJ95" s="235"/>
      <c r="AK95" s="235"/>
      <c r="AL95" s="235"/>
      <c r="AM95" s="235"/>
      <c r="AN95" s="235"/>
      <c r="AO95" s="235"/>
      <c r="AP95" s="235"/>
      <c r="AQ95" s="235"/>
      <c r="AR95" s="232"/>
      <c r="AS95" s="232"/>
      <c r="AT95" s="232"/>
      <c r="AU95" s="232"/>
      <c r="AV95" s="232"/>
    </row>
    <row r="96" spans="4:48">
      <c r="D96" s="231">
        <v>1530</v>
      </c>
      <c r="E96" s="231"/>
      <c r="F96" s="78"/>
      <c r="G96" s="84" t="s">
        <v>305</v>
      </c>
      <c r="H96" s="78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80"/>
      <c r="T96" s="232">
        <v>-1</v>
      </c>
      <c r="U96" s="232"/>
      <c r="V96" s="232"/>
      <c r="W96" s="232"/>
      <c r="AB96" s="231">
        <v>2999</v>
      </c>
      <c r="AC96" s="231"/>
      <c r="AD96" s="235" t="s">
        <v>306</v>
      </c>
      <c r="AE96" s="235"/>
      <c r="AF96" s="235"/>
      <c r="AG96" s="235"/>
      <c r="AH96" s="235"/>
      <c r="AI96" s="235"/>
      <c r="AJ96" s="235"/>
      <c r="AK96" s="235"/>
      <c r="AL96" s="235"/>
      <c r="AM96" s="235"/>
      <c r="AN96" s="235"/>
      <c r="AO96" s="235"/>
      <c r="AP96" s="235"/>
      <c r="AQ96" s="235"/>
      <c r="AR96" s="232">
        <f>SUM(AR75:AV95)</f>
        <v>0</v>
      </c>
      <c r="AS96" s="232"/>
      <c r="AT96" s="232"/>
      <c r="AU96" s="232"/>
      <c r="AV96" s="232"/>
    </row>
    <row r="97" spans="4:48">
      <c r="D97" s="231">
        <v>1531</v>
      </c>
      <c r="E97" s="231"/>
      <c r="F97" s="78" t="s">
        <v>307</v>
      </c>
      <c r="G97" s="78"/>
      <c r="H97" s="78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80"/>
      <c r="T97" s="232"/>
      <c r="U97" s="232"/>
      <c r="V97" s="232"/>
      <c r="W97" s="232"/>
      <c r="AB97" s="237"/>
      <c r="AC97" s="237"/>
      <c r="AD97" s="236" t="s">
        <v>308</v>
      </c>
      <c r="AE97" s="236"/>
      <c r="AF97" s="236"/>
      <c r="AG97" s="236"/>
      <c r="AH97" s="236"/>
      <c r="AI97" s="236"/>
      <c r="AJ97" s="236"/>
      <c r="AK97" s="236"/>
      <c r="AL97" s="236"/>
      <c r="AM97" s="236"/>
      <c r="AN97" s="236"/>
      <c r="AO97" s="236"/>
      <c r="AP97" s="236"/>
      <c r="AQ97" s="236"/>
      <c r="AR97" s="238"/>
      <c r="AS97" s="238"/>
      <c r="AT97" s="238"/>
      <c r="AU97" s="238"/>
      <c r="AV97" s="238"/>
    </row>
    <row r="98" spans="4:48">
      <c r="D98" s="231">
        <v>1533</v>
      </c>
      <c r="E98" s="231"/>
      <c r="F98" s="78" t="s">
        <v>309</v>
      </c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80"/>
      <c r="T98" s="232"/>
      <c r="U98" s="232"/>
      <c r="V98" s="232"/>
      <c r="W98" s="232"/>
      <c r="AB98" s="231">
        <v>3102</v>
      </c>
      <c r="AC98" s="231"/>
      <c r="AD98" s="235" t="s">
        <v>310</v>
      </c>
      <c r="AE98" s="235"/>
      <c r="AF98" s="235"/>
      <c r="AG98" s="235"/>
      <c r="AH98" s="235"/>
      <c r="AI98" s="235"/>
      <c r="AJ98" s="235"/>
      <c r="AK98" s="235"/>
      <c r="AL98" s="235"/>
      <c r="AM98" s="235"/>
      <c r="AN98" s="235"/>
      <c r="AO98" s="235"/>
      <c r="AP98" s="235"/>
      <c r="AQ98" s="235"/>
      <c r="AR98" s="232"/>
      <c r="AS98" s="232"/>
      <c r="AT98" s="232"/>
      <c r="AU98" s="232"/>
      <c r="AV98" s="232"/>
    </row>
    <row r="99" spans="4:48">
      <c r="D99" s="231">
        <v>1534</v>
      </c>
      <c r="E99" s="231"/>
      <c r="F99" s="78"/>
      <c r="G99" s="84" t="s">
        <v>311</v>
      </c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80"/>
      <c r="T99" s="232">
        <v>-1</v>
      </c>
      <c r="U99" s="232"/>
      <c r="V99" s="232"/>
      <c r="W99" s="232"/>
      <c r="AB99" s="231">
        <v>3120</v>
      </c>
      <c r="AC99" s="231"/>
      <c r="AD99" s="235" t="s">
        <v>312</v>
      </c>
      <c r="AE99" s="235"/>
      <c r="AF99" s="235"/>
      <c r="AG99" s="235"/>
      <c r="AH99" s="235"/>
      <c r="AI99" s="235"/>
      <c r="AJ99" s="235"/>
      <c r="AK99" s="235"/>
      <c r="AL99" s="235"/>
      <c r="AM99" s="235"/>
      <c r="AN99" s="235"/>
      <c r="AO99" s="235"/>
      <c r="AP99" s="235"/>
      <c r="AQ99" s="235"/>
      <c r="AR99" s="232"/>
      <c r="AS99" s="232"/>
      <c r="AT99" s="232"/>
      <c r="AU99" s="232"/>
      <c r="AV99" s="232"/>
    </row>
    <row r="100" spans="4:48">
      <c r="D100" s="231">
        <v>1551</v>
      </c>
      <c r="E100" s="231"/>
      <c r="F100" s="78" t="s">
        <v>313</v>
      </c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80"/>
      <c r="T100" s="232"/>
      <c r="U100" s="232"/>
      <c r="V100" s="232"/>
      <c r="W100" s="232"/>
      <c r="AB100" s="231">
        <v>3200</v>
      </c>
      <c r="AC100" s="231"/>
      <c r="AD100" s="235" t="s">
        <v>314</v>
      </c>
      <c r="AE100" s="235"/>
      <c r="AF100" s="235"/>
      <c r="AG100" s="235"/>
      <c r="AH100" s="235"/>
      <c r="AI100" s="235"/>
      <c r="AJ100" s="235"/>
      <c r="AK100" s="235"/>
      <c r="AL100" s="235"/>
      <c r="AM100" s="235"/>
      <c r="AN100" s="235"/>
      <c r="AO100" s="235"/>
      <c r="AP100" s="235"/>
      <c r="AQ100" s="235"/>
      <c r="AR100" s="232"/>
      <c r="AS100" s="232"/>
      <c r="AT100" s="232"/>
      <c r="AU100" s="232"/>
      <c r="AV100" s="232"/>
    </row>
    <row r="101" spans="4:48">
      <c r="D101" s="231">
        <v>1599</v>
      </c>
      <c r="E101" s="231"/>
      <c r="F101" s="78" t="s">
        <v>315</v>
      </c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80"/>
      <c r="T101" s="232"/>
      <c r="U101" s="232"/>
      <c r="V101" s="232"/>
      <c r="W101" s="232"/>
      <c r="AB101" s="231">
        <v>3297</v>
      </c>
      <c r="AC101" s="231"/>
      <c r="AD101" s="235" t="s">
        <v>316</v>
      </c>
      <c r="AE101" s="235"/>
      <c r="AF101" s="235"/>
      <c r="AG101" s="235"/>
      <c r="AH101" s="235"/>
      <c r="AI101" s="235"/>
      <c r="AJ101" s="235"/>
      <c r="AK101" s="235"/>
      <c r="AL101" s="235"/>
      <c r="AM101" s="235"/>
      <c r="AN101" s="235"/>
      <c r="AO101" s="235"/>
      <c r="AP101" s="235"/>
      <c r="AQ101" s="235"/>
      <c r="AR101" s="232"/>
      <c r="AS101" s="232"/>
      <c r="AT101" s="232"/>
      <c r="AU101" s="232"/>
      <c r="AV101" s="232"/>
    </row>
    <row r="102" spans="4:48">
      <c r="D102" s="231">
        <v>1600</v>
      </c>
      <c r="E102" s="231"/>
      <c r="F102" s="78" t="s">
        <v>317</v>
      </c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80"/>
      <c r="T102" s="232"/>
      <c r="U102" s="232"/>
      <c r="V102" s="232"/>
      <c r="W102" s="232"/>
      <c r="AB102" s="231">
        <v>3298</v>
      </c>
      <c r="AC102" s="231"/>
      <c r="AD102" s="235" t="s">
        <v>318</v>
      </c>
      <c r="AE102" s="235"/>
      <c r="AF102" s="235"/>
      <c r="AG102" s="235"/>
      <c r="AH102" s="235"/>
      <c r="AI102" s="235"/>
      <c r="AJ102" s="235"/>
      <c r="AK102" s="235"/>
      <c r="AL102" s="235"/>
      <c r="AM102" s="235"/>
      <c r="AN102" s="235"/>
      <c r="AO102" s="235"/>
      <c r="AP102" s="235"/>
      <c r="AQ102" s="235"/>
      <c r="AR102" s="232"/>
      <c r="AS102" s="232"/>
      <c r="AT102" s="232"/>
      <c r="AU102" s="232"/>
      <c r="AV102" s="232"/>
    </row>
    <row r="103" spans="4:48">
      <c r="D103" s="231">
        <v>1601</v>
      </c>
      <c r="E103" s="231"/>
      <c r="F103" s="78"/>
      <c r="G103" s="84" t="s">
        <v>319</v>
      </c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80"/>
      <c r="T103" s="232">
        <v>-1</v>
      </c>
      <c r="U103" s="232"/>
      <c r="V103" s="232"/>
      <c r="W103" s="232"/>
      <c r="AB103" s="231">
        <v>3299</v>
      </c>
      <c r="AC103" s="231"/>
      <c r="AD103" s="235" t="s">
        <v>320</v>
      </c>
      <c r="AE103" s="235"/>
      <c r="AF103" s="235"/>
      <c r="AG103" s="235"/>
      <c r="AH103" s="235"/>
      <c r="AI103" s="235"/>
      <c r="AJ103" s="235"/>
      <c r="AK103" s="235"/>
      <c r="AL103" s="235"/>
      <c r="AM103" s="235"/>
      <c r="AN103" s="235"/>
      <c r="AO103" s="235"/>
      <c r="AP103" s="235"/>
      <c r="AQ103" s="235"/>
      <c r="AR103" s="232">
        <f>SUM(AR98:AR102)</f>
        <v>0</v>
      </c>
      <c r="AS103" s="232"/>
      <c r="AT103" s="232"/>
      <c r="AU103" s="232"/>
      <c r="AV103" s="232"/>
    </row>
    <row r="104" spans="4:48">
      <c r="D104" s="231">
        <v>1611</v>
      </c>
      <c r="E104" s="231"/>
      <c r="F104" s="78" t="s">
        <v>321</v>
      </c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80"/>
      <c r="T104" s="232"/>
      <c r="U104" s="232"/>
      <c r="V104" s="232"/>
      <c r="W104" s="232"/>
      <c r="AB104" s="231">
        <v>3300</v>
      </c>
      <c r="AC104" s="231"/>
      <c r="AD104" s="236" t="s">
        <v>322</v>
      </c>
      <c r="AE104" s="236"/>
      <c r="AF104" s="236"/>
      <c r="AG104" s="236"/>
      <c r="AH104" s="236"/>
      <c r="AI104" s="236"/>
      <c r="AJ104" s="236"/>
      <c r="AK104" s="236"/>
      <c r="AL104" s="236"/>
      <c r="AM104" s="236"/>
      <c r="AN104" s="236"/>
      <c r="AO104" s="236"/>
      <c r="AP104" s="236"/>
      <c r="AQ104" s="236"/>
      <c r="AR104" s="232">
        <f>AR103+AR96</f>
        <v>0</v>
      </c>
      <c r="AS104" s="232"/>
      <c r="AT104" s="232"/>
      <c r="AU104" s="232"/>
      <c r="AV104" s="232"/>
    </row>
    <row r="105" spans="4:48">
      <c r="D105" s="231">
        <v>1651</v>
      </c>
      <c r="E105" s="231"/>
      <c r="F105" s="78" t="s">
        <v>323</v>
      </c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80"/>
      <c r="T105" s="232"/>
      <c r="U105" s="232"/>
      <c r="V105" s="232"/>
      <c r="W105" s="232"/>
    </row>
    <row r="106" spans="4:48">
      <c r="D106" s="231">
        <v>1658</v>
      </c>
      <c r="E106" s="231"/>
      <c r="F106" s="78"/>
      <c r="G106" s="84" t="s">
        <v>324</v>
      </c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80"/>
      <c r="T106" s="232">
        <v>-1</v>
      </c>
      <c r="U106" s="232"/>
      <c r="V106" s="232"/>
      <c r="W106" s="232"/>
    </row>
    <row r="107" spans="4:48">
      <c r="D107" s="231">
        <v>1698</v>
      </c>
      <c r="E107" s="231"/>
      <c r="F107" s="78" t="s">
        <v>325</v>
      </c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80"/>
      <c r="T107" s="232"/>
      <c r="U107" s="232"/>
      <c r="V107" s="232"/>
      <c r="W107" s="232"/>
    </row>
    <row r="108" spans="4:48">
      <c r="D108" s="231">
        <v>1700</v>
      </c>
      <c r="E108" s="231"/>
      <c r="F108" s="77" t="s">
        <v>326</v>
      </c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80"/>
      <c r="T108" s="232">
        <f>SUM(T75:T107)</f>
        <v>-6</v>
      </c>
      <c r="U108" s="232"/>
      <c r="V108" s="232"/>
      <c r="W108" s="232"/>
    </row>
  </sheetData>
  <mergeCells count="665">
    <mergeCell ref="AR18:AV18"/>
    <mergeCell ref="D18:E18"/>
    <mergeCell ref="F18:O18"/>
    <mergeCell ref="P18:S18"/>
    <mergeCell ref="T18:W18"/>
    <mergeCell ref="X18:AA18"/>
    <mergeCell ref="AB18:AE18"/>
    <mergeCell ref="AF18:AI18"/>
    <mergeCell ref="AJ18:AM18"/>
    <mergeCell ref="AN18:AQ18"/>
    <mergeCell ref="AR19:AV19"/>
    <mergeCell ref="D20:E20"/>
    <mergeCell ref="F20:O20"/>
    <mergeCell ref="P20:S20"/>
    <mergeCell ref="T20:W20"/>
    <mergeCell ref="X20:AA20"/>
    <mergeCell ref="AB20:AE20"/>
    <mergeCell ref="AF20:AI20"/>
    <mergeCell ref="AJ20:AM20"/>
    <mergeCell ref="AN20:AQ20"/>
    <mergeCell ref="AR20:AV20"/>
    <mergeCell ref="D19:E19"/>
    <mergeCell ref="F19:O19"/>
    <mergeCell ref="P19:S19"/>
    <mergeCell ref="T19:W19"/>
    <mergeCell ref="X19:AA19"/>
    <mergeCell ref="AB19:AE19"/>
    <mergeCell ref="AF19:AI19"/>
    <mergeCell ref="AJ19:AM19"/>
    <mergeCell ref="AN19:AQ19"/>
    <mergeCell ref="AR21:AV21"/>
    <mergeCell ref="D22:E22"/>
    <mergeCell ref="F22:O22"/>
    <mergeCell ref="P22:S22"/>
    <mergeCell ref="T22:W22"/>
    <mergeCell ref="X22:AA22"/>
    <mergeCell ref="AB22:AE22"/>
    <mergeCell ref="AF22:AI22"/>
    <mergeCell ref="AJ22:AM22"/>
    <mergeCell ref="AN22:AQ22"/>
    <mergeCell ref="AR22:AV22"/>
    <mergeCell ref="D21:E21"/>
    <mergeCell ref="F21:O21"/>
    <mergeCell ref="P21:S21"/>
    <mergeCell ref="T21:W21"/>
    <mergeCell ref="X21:AA21"/>
    <mergeCell ref="AB21:AE21"/>
    <mergeCell ref="AF21:AI21"/>
    <mergeCell ref="AJ21:AM21"/>
    <mergeCell ref="AN21:AQ21"/>
    <mergeCell ref="AR23:AV23"/>
    <mergeCell ref="D24:E24"/>
    <mergeCell ref="P24:S24"/>
    <mergeCell ref="T24:W24"/>
    <mergeCell ref="X24:AA24"/>
    <mergeCell ref="AB24:AE24"/>
    <mergeCell ref="AF24:AI24"/>
    <mergeCell ref="AJ24:AM24"/>
    <mergeCell ref="AN24:AQ24"/>
    <mergeCell ref="AR24:AV24"/>
    <mergeCell ref="D23:E23"/>
    <mergeCell ref="F23:O23"/>
    <mergeCell ref="P23:S23"/>
    <mergeCell ref="T23:W23"/>
    <mergeCell ref="X23:AA23"/>
    <mergeCell ref="AB23:AE23"/>
    <mergeCell ref="AF23:AI23"/>
    <mergeCell ref="AJ23:AM23"/>
    <mergeCell ref="AN23:AQ23"/>
    <mergeCell ref="D25:E25"/>
    <mergeCell ref="P25:S25"/>
    <mergeCell ref="T25:W25"/>
    <mergeCell ref="X25:AA25"/>
    <mergeCell ref="AB25:AE25"/>
    <mergeCell ref="AF25:AI25"/>
    <mergeCell ref="AJ25:AM25"/>
    <mergeCell ref="AN25:AQ25"/>
    <mergeCell ref="AR25:AV25"/>
    <mergeCell ref="D26:E26"/>
    <mergeCell ref="P26:S26"/>
    <mergeCell ref="T26:W26"/>
    <mergeCell ref="X26:AA26"/>
    <mergeCell ref="AB26:AE26"/>
    <mergeCell ref="AF26:AI26"/>
    <mergeCell ref="AJ26:AM26"/>
    <mergeCell ref="AN26:AQ26"/>
    <mergeCell ref="AR26:AV26"/>
    <mergeCell ref="AR27:AV27"/>
    <mergeCell ref="D28:E28"/>
    <mergeCell ref="F28:O28"/>
    <mergeCell ref="P28:S28"/>
    <mergeCell ref="T28:W28"/>
    <mergeCell ref="X28:AA28"/>
    <mergeCell ref="AB28:AE28"/>
    <mergeCell ref="AF28:AI28"/>
    <mergeCell ref="AJ28:AM28"/>
    <mergeCell ref="AN28:AQ28"/>
    <mergeCell ref="AR28:AV28"/>
    <mergeCell ref="D27:E27"/>
    <mergeCell ref="F27:O27"/>
    <mergeCell ref="P27:S27"/>
    <mergeCell ref="T27:W27"/>
    <mergeCell ref="X27:AA27"/>
    <mergeCell ref="AB27:AE27"/>
    <mergeCell ref="AF27:AI27"/>
    <mergeCell ref="AJ27:AM27"/>
    <mergeCell ref="AN27:AQ27"/>
    <mergeCell ref="D29:E29"/>
    <mergeCell ref="P29:S29"/>
    <mergeCell ref="T29:W29"/>
    <mergeCell ref="X29:AA29"/>
    <mergeCell ref="AB29:AE29"/>
    <mergeCell ref="AF29:AI29"/>
    <mergeCell ref="AJ29:AM29"/>
    <mergeCell ref="AN29:AQ29"/>
    <mergeCell ref="AR29:AV29"/>
    <mergeCell ref="D30:E30"/>
    <mergeCell ref="P30:S30"/>
    <mergeCell ref="T30:W30"/>
    <mergeCell ref="X30:AA30"/>
    <mergeCell ref="AB30:AE30"/>
    <mergeCell ref="AF30:AI30"/>
    <mergeCell ref="AJ30:AM30"/>
    <mergeCell ref="AN30:AQ30"/>
    <mergeCell ref="AR30:AV30"/>
    <mergeCell ref="D31:E31"/>
    <mergeCell ref="P31:S31"/>
    <mergeCell ref="T31:W31"/>
    <mergeCell ref="X31:AA31"/>
    <mergeCell ref="AB31:AE31"/>
    <mergeCell ref="AF31:AI31"/>
    <mergeCell ref="AJ31:AM31"/>
    <mergeCell ref="AN31:AQ31"/>
    <mergeCell ref="AR31:AV31"/>
    <mergeCell ref="D32:E32"/>
    <mergeCell ref="P32:S32"/>
    <mergeCell ref="T32:W32"/>
    <mergeCell ref="X32:AA32"/>
    <mergeCell ref="AB32:AE32"/>
    <mergeCell ref="AF32:AI32"/>
    <mergeCell ref="AJ32:AM32"/>
    <mergeCell ref="AN32:AQ32"/>
    <mergeCell ref="AR32:AV32"/>
    <mergeCell ref="D33:E33"/>
    <mergeCell ref="P33:S33"/>
    <mergeCell ref="T33:W33"/>
    <mergeCell ref="X33:AA33"/>
    <mergeCell ref="AB33:AE33"/>
    <mergeCell ref="AF33:AI33"/>
    <mergeCell ref="AJ33:AM33"/>
    <mergeCell ref="AN33:AQ33"/>
    <mergeCell ref="AR33:AV33"/>
    <mergeCell ref="D34:E34"/>
    <mergeCell ref="P34:S34"/>
    <mergeCell ref="T34:W34"/>
    <mergeCell ref="X34:AA34"/>
    <mergeCell ref="AB34:AE34"/>
    <mergeCell ref="AF34:AI34"/>
    <mergeCell ref="AJ34:AM34"/>
    <mergeCell ref="AN34:AQ34"/>
    <mergeCell ref="AR34:AV34"/>
    <mergeCell ref="AR35:AV35"/>
    <mergeCell ref="D36:E36"/>
    <mergeCell ref="F36:O36"/>
    <mergeCell ref="P36:S36"/>
    <mergeCell ref="T36:W36"/>
    <mergeCell ref="X36:AA36"/>
    <mergeCell ref="AB36:AE36"/>
    <mergeCell ref="AF36:AI36"/>
    <mergeCell ref="AJ36:AM36"/>
    <mergeCell ref="AN36:AQ36"/>
    <mergeCell ref="AR36:AV36"/>
    <mergeCell ref="D35:E35"/>
    <mergeCell ref="F35:O35"/>
    <mergeCell ref="P35:S35"/>
    <mergeCell ref="T35:W35"/>
    <mergeCell ref="X35:AA35"/>
    <mergeCell ref="AB35:AE35"/>
    <mergeCell ref="AF35:AI35"/>
    <mergeCell ref="AJ35:AM35"/>
    <mergeCell ref="AN35:AQ35"/>
    <mergeCell ref="AR37:AV37"/>
    <mergeCell ref="D38:E38"/>
    <mergeCell ref="P38:S38"/>
    <mergeCell ref="T38:W38"/>
    <mergeCell ref="X38:AA38"/>
    <mergeCell ref="AB38:AE38"/>
    <mergeCell ref="AF38:AI38"/>
    <mergeCell ref="AJ38:AM38"/>
    <mergeCell ref="AN38:AQ38"/>
    <mergeCell ref="AR38:AV38"/>
    <mergeCell ref="D37:E37"/>
    <mergeCell ref="F37:O37"/>
    <mergeCell ref="P37:S37"/>
    <mergeCell ref="T37:W37"/>
    <mergeCell ref="X37:AA37"/>
    <mergeCell ref="AB37:AE37"/>
    <mergeCell ref="AF37:AI37"/>
    <mergeCell ref="AJ37:AM37"/>
    <mergeCell ref="AN37:AQ37"/>
    <mergeCell ref="D39:E39"/>
    <mergeCell ref="P39:S39"/>
    <mergeCell ref="T39:W39"/>
    <mergeCell ref="X39:AA39"/>
    <mergeCell ref="AB39:AE39"/>
    <mergeCell ref="AF39:AI39"/>
    <mergeCell ref="AJ39:AM39"/>
    <mergeCell ref="AN39:AQ39"/>
    <mergeCell ref="AR39:AV39"/>
    <mergeCell ref="D40:E40"/>
    <mergeCell ref="P40:S40"/>
    <mergeCell ref="T40:W40"/>
    <mergeCell ref="X40:AA40"/>
    <mergeCell ref="AB40:AE40"/>
    <mergeCell ref="AF40:AI40"/>
    <mergeCell ref="AJ40:AM40"/>
    <mergeCell ref="AN40:AQ40"/>
    <mergeCell ref="AR40:AV40"/>
    <mergeCell ref="D41:E41"/>
    <mergeCell ref="P41:S41"/>
    <mergeCell ref="T41:W41"/>
    <mergeCell ref="X41:AA41"/>
    <mergeCell ref="AB41:AE41"/>
    <mergeCell ref="AF41:AI41"/>
    <mergeCell ref="AJ41:AM41"/>
    <mergeCell ref="AN41:AQ41"/>
    <mergeCell ref="AR41:AV41"/>
    <mergeCell ref="D42:E42"/>
    <mergeCell ref="P42:S42"/>
    <mergeCell ref="T42:W42"/>
    <mergeCell ref="X42:AA42"/>
    <mergeCell ref="AB42:AE42"/>
    <mergeCell ref="AF42:AI42"/>
    <mergeCell ref="AJ42:AM42"/>
    <mergeCell ref="AN42:AQ42"/>
    <mergeCell ref="AR42:AV42"/>
    <mergeCell ref="D43:E43"/>
    <mergeCell ref="P43:S43"/>
    <mergeCell ref="T43:W43"/>
    <mergeCell ref="X43:AA43"/>
    <mergeCell ref="AB43:AE43"/>
    <mergeCell ref="AF43:AI43"/>
    <mergeCell ref="AJ43:AM43"/>
    <mergeCell ref="AN43:AQ43"/>
    <mergeCell ref="AR43:AV43"/>
    <mergeCell ref="D44:E44"/>
    <mergeCell ref="P44:S44"/>
    <mergeCell ref="T44:W44"/>
    <mergeCell ref="X44:AA44"/>
    <mergeCell ref="AB44:AE44"/>
    <mergeCell ref="AF44:AI44"/>
    <mergeCell ref="AJ44:AM44"/>
    <mergeCell ref="AN44:AQ44"/>
    <mergeCell ref="AR44:AV44"/>
    <mergeCell ref="D45:E45"/>
    <mergeCell ref="P45:S45"/>
    <mergeCell ref="T45:W45"/>
    <mergeCell ref="X45:AA45"/>
    <mergeCell ref="AB45:AE45"/>
    <mergeCell ref="AF45:AI45"/>
    <mergeCell ref="AJ45:AM45"/>
    <mergeCell ref="AN45:AQ45"/>
    <mergeCell ref="AR45:AV45"/>
    <mergeCell ref="D46:E46"/>
    <mergeCell ref="P46:S46"/>
    <mergeCell ref="T46:W46"/>
    <mergeCell ref="X46:AA46"/>
    <mergeCell ref="AB46:AE46"/>
    <mergeCell ref="AF46:AI46"/>
    <mergeCell ref="AJ46:AM46"/>
    <mergeCell ref="AN46:AQ46"/>
    <mergeCell ref="AR46:AV46"/>
    <mergeCell ref="D47:E47"/>
    <mergeCell ref="P47:S47"/>
    <mergeCell ref="T47:W47"/>
    <mergeCell ref="X47:AA47"/>
    <mergeCell ref="AB47:AE47"/>
    <mergeCell ref="AF47:AI47"/>
    <mergeCell ref="AJ47:AM47"/>
    <mergeCell ref="AN47:AQ47"/>
    <mergeCell ref="AR47:AV47"/>
    <mergeCell ref="D48:E48"/>
    <mergeCell ref="P48:S48"/>
    <mergeCell ref="T48:W48"/>
    <mergeCell ref="X48:AA48"/>
    <mergeCell ref="AB48:AE48"/>
    <mergeCell ref="AF48:AI48"/>
    <mergeCell ref="AJ48:AM48"/>
    <mergeCell ref="AN48:AQ48"/>
    <mergeCell ref="AR48:AV48"/>
    <mergeCell ref="D49:E49"/>
    <mergeCell ref="P49:S49"/>
    <mergeCell ref="T49:W49"/>
    <mergeCell ref="X49:AA49"/>
    <mergeCell ref="AB49:AE49"/>
    <mergeCell ref="AF49:AI49"/>
    <mergeCell ref="AJ49:AM49"/>
    <mergeCell ref="AN49:AQ49"/>
    <mergeCell ref="AR49:AV49"/>
    <mergeCell ref="D50:E50"/>
    <mergeCell ref="P50:S50"/>
    <mergeCell ref="T50:W50"/>
    <mergeCell ref="X50:AA50"/>
    <mergeCell ref="AB50:AE50"/>
    <mergeCell ref="AF50:AI50"/>
    <mergeCell ref="AJ50:AM50"/>
    <mergeCell ref="AN50:AQ50"/>
    <mergeCell ref="AR50:AV50"/>
    <mergeCell ref="D51:E51"/>
    <mergeCell ref="P51:S51"/>
    <mergeCell ref="T51:W51"/>
    <mergeCell ref="X51:AA51"/>
    <mergeCell ref="AB51:AE51"/>
    <mergeCell ref="AF51:AI51"/>
    <mergeCell ref="AJ51:AM51"/>
    <mergeCell ref="AN51:AQ51"/>
    <mergeCell ref="AR51:AV51"/>
    <mergeCell ref="D52:E52"/>
    <mergeCell ref="P52:S52"/>
    <mergeCell ref="T52:W52"/>
    <mergeCell ref="X52:AA52"/>
    <mergeCell ref="AB52:AE52"/>
    <mergeCell ref="AF52:AI52"/>
    <mergeCell ref="AJ52:AM52"/>
    <mergeCell ref="AN52:AQ52"/>
    <mergeCell ref="AR52:AV52"/>
    <mergeCell ref="D53:E53"/>
    <mergeCell ref="P53:S53"/>
    <mergeCell ref="T53:W53"/>
    <mergeCell ref="X53:AA53"/>
    <mergeCell ref="AB53:AE53"/>
    <mergeCell ref="AF53:AI53"/>
    <mergeCell ref="AJ53:AM53"/>
    <mergeCell ref="AN53:AQ53"/>
    <mergeCell ref="AR53:AV53"/>
    <mergeCell ref="D54:E54"/>
    <mergeCell ref="P54:S54"/>
    <mergeCell ref="T54:W54"/>
    <mergeCell ref="X54:AA54"/>
    <mergeCell ref="AB54:AE54"/>
    <mergeCell ref="AF54:AI54"/>
    <mergeCell ref="AJ54:AM54"/>
    <mergeCell ref="AN54:AQ54"/>
    <mergeCell ref="AR54:AV54"/>
    <mergeCell ref="D55:E55"/>
    <mergeCell ref="P55:S55"/>
    <mergeCell ref="T55:W55"/>
    <mergeCell ref="X55:AA55"/>
    <mergeCell ref="AB55:AE55"/>
    <mergeCell ref="AF55:AI55"/>
    <mergeCell ref="AJ55:AM55"/>
    <mergeCell ref="AN55:AQ55"/>
    <mergeCell ref="AR55:AV55"/>
    <mergeCell ref="D56:E56"/>
    <mergeCell ref="P56:S56"/>
    <mergeCell ref="T56:W56"/>
    <mergeCell ref="X56:AA56"/>
    <mergeCell ref="AB56:AE56"/>
    <mergeCell ref="AF56:AI56"/>
    <mergeCell ref="AJ56:AM56"/>
    <mergeCell ref="AN56:AQ56"/>
    <mergeCell ref="AR56:AV56"/>
    <mergeCell ref="D57:E57"/>
    <mergeCell ref="P57:S57"/>
    <mergeCell ref="T57:W57"/>
    <mergeCell ref="X57:AA57"/>
    <mergeCell ref="AB57:AE57"/>
    <mergeCell ref="AF57:AI57"/>
    <mergeCell ref="AJ57:AM57"/>
    <mergeCell ref="AN57:AQ57"/>
    <mergeCell ref="AR57:AV57"/>
    <mergeCell ref="D58:E58"/>
    <mergeCell ref="P58:S58"/>
    <mergeCell ref="T58:W58"/>
    <mergeCell ref="X58:AA58"/>
    <mergeCell ref="AB58:AE58"/>
    <mergeCell ref="AF58:AI58"/>
    <mergeCell ref="AJ58:AM58"/>
    <mergeCell ref="AN58:AQ58"/>
    <mergeCell ref="AR58:AV58"/>
    <mergeCell ref="D59:E59"/>
    <mergeCell ref="P59:S59"/>
    <mergeCell ref="T59:W59"/>
    <mergeCell ref="X59:AA59"/>
    <mergeCell ref="AB59:AE59"/>
    <mergeCell ref="AF59:AI59"/>
    <mergeCell ref="AJ59:AM59"/>
    <mergeCell ref="AN59:AQ59"/>
    <mergeCell ref="AR59:AV59"/>
    <mergeCell ref="D60:E60"/>
    <mergeCell ref="P60:S60"/>
    <mergeCell ref="T60:W60"/>
    <mergeCell ref="X60:AA60"/>
    <mergeCell ref="AB60:AE60"/>
    <mergeCell ref="AF60:AI60"/>
    <mergeCell ref="AJ60:AM60"/>
    <mergeCell ref="AN60:AQ60"/>
    <mergeCell ref="AR60:AV60"/>
    <mergeCell ref="D61:E61"/>
    <mergeCell ref="P61:S61"/>
    <mergeCell ref="T61:W61"/>
    <mergeCell ref="X61:AA61"/>
    <mergeCell ref="AB61:AE61"/>
    <mergeCell ref="AF61:AI61"/>
    <mergeCell ref="AJ61:AM61"/>
    <mergeCell ref="AN61:AQ61"/>
    <mergeCell ref="AR61:AV61"/>
    <mergeCell ref="D62:E62"/>
    <mergeCell ref="P62:S62"/>
    <mergeCell ref="T62:W62"/>
    <mergeCell ref="X62:AA62"/>
    <mergeCell ref="AB62:AE62"/>
    <mergeCell ref="AF62:AI62"/>
    <mergeCell ref="AJ62:AM62"/>
    <mergeCell ref="AN62:AQ62"/>
    <mergeCell ref="AR62:AV62"/>
    <mergeCell ref="D63:E63"/>
    <mergeCell ref="P63:S63"/>
    <mergeCell ref="T63:W63"/>
    <mergeCell ref="X63:AA63"/>
    <mergeCell ref="AB63:AE63"/>
    <mergeCell ref="AF63:AI63"/>
    <mergeCell ref="AJ63:AM63"/>
    <mergeCell ref="AN63:AQ63"/>
    <mergeCell ref="AR63:AV63"/>
    <mergeCell ref="D64:E64"/>
    <mergeCell ref="P64:S64"/>
    <mergeCell ref="T64:W64"/>
    <mergeCell ref="X64:AA64"/>
    <mergeCell ref="AB64:AE64"/>
    <mergeCell ref="AF64:AI64"/>
    <mergeCell ref="AJ64:AM64"/>
    <mergeCell ref="AN64:AQ64"/>
    <mergeCell ref="AR64:AV64"/>
    <mergeCell ref="D65:E65"/>
    <mergeCell ref="P65:S65"/>
    <mergeCell ref="T65:W65"/>
    <mergeCell ref="X65:AA65"/>
    <mergeCell ref="AB65:AE65"/>
    <mergeCell ref="AF65:AI65"/>
    <mergeCell ref="AJ65:AM65"/>
    <mergeCell ref="AN65:AQ65"/>
    <mergeCell ref="AR65:AV65"/>
    <mergeCell ref="D66:E66"/>
    <mergeCell ref="P66:S66"/>
    <mergeCell ref="T66:W66"/>
    <mergeCell ref="X66:AA66"/>
    <mergeCell ref="AB66:AE66"/>
    <mergeCell ref="AF66:AI66"/>
    <mergeCell ref="AJ66:AM66"/>
    <mergeCell ref="AR66:AV66"/>
    <mergeCell ref="D68:E68"/>
    <mergeCell ref="F68:O68"/>
    <mergeCell ref="P68:S68"/>
    <mergeCell ref="T68:W68"/>
    <mergeCell ref="X68:AA68"/>
    <mergeCell ref="AB68:AE68"/>
    <mergeCell ref="AF68:AI68"/>
    <mergeCell ref="AJ68:AM68"/>
    <mergeCell ref="AN68:AQ68"/>
    <mergeCell ref="AR68:AV68"/>
    <mergeCell ref="X71:AA71"/>
    <mergeCell ref="X72:AA72"/>
    <mergeCell ref="X73:AA73"/>
    <mergeCell ref="D74:E74"/>
    <mergeCell ref="F74:S74"/>
    <mergeCell ref="T74:W74"/>
    <mergeCell ref="X74:AA74"/>
    <mergeCell ref="AB74:AC74"/>
    <mergeCell ref="AD74:AQ74"/>
    <mergeCell ref="AD71:AQ73"/>
    <mergeCell ref="AR74:AV74"/>
    <mergeCell ref="D75:E75"/>
    <mergeCell ref="T75:W75"/>
    <mergeCell ref="X75:AA75"/>
    <mergeCell ref="AB75:AC75"/>
    <mergeCell ref="AD75:AQ75"/>
    <mergeCell ref="AR75:AV75"/>
    <mergeCell ref="D76:E76"/>
    <mergeCell ref="T76:W76"/>
    <mergeCell ref="X76:AA76"/>
    <mergeCell ref="AB76:AC76"/>
    <mergeCell ref="AD76:AQ76"/>
    <mergeCell ref="AR76:AV76"/>
    <mergeCell ref="D77:E77"/>
    <mergeCell ref="T77:W77"/>
    <mergeCell ref="X77:AA77"/>
    <mergeCell ref="AB77:AC77"/>
    <mergeCell ref="AD77:AQ77"/>
    <mergeCell ref="AR77:AV77"/>
    <mergeCell ref="D78:E78"/>
    <mergeCell ref="T78:W78"/>
    <mergeCell ref="X78:AA78"/>
    <mergeCell ref="AB78:AC78"/>
    <mergeCell ref="AD78:AQ78"/>
    <mergeCell ref="AR78:AV78"/>
    <mergeCell ref="D79:E79"/>
    <mergeCell ref="T79:W79"/>
    <mergeCell ref="X79:AA79"/>
    <mergeCell ref="AB79:AC79"/>
    <mergeCell ref="AD79:AQ79"/>
    <mergeCell ref="AR79:AV79"/>
    <mergeCell ref="D80:E80"/>
    <mergeCell ref="T80:W80"/>
    <mergeCell ref="X80:AA80"/>
    <mergeCell ref="AB80:AC80"/>
    <mergeCell ref="AD80:AQ80"/>
    <mergeCell ref="AR80:AV80"/>
    <mergeCell ref="D81:E81"/>
    <mergeCell ref="T81:W81"/>
    <mergeCell ref="X81:AA81"/>
    <mergeCell ref="AB81:AC81"/>
    <mergeCell ref="AD81:AQ81"/>
    <mergeCell ref="AR81:AV81"/>
    <mergeCell ref="D82:E82"/>
    <mergeCell ref="T82:W82"/>
    <mergeCell ref="X82:AA82"/>
    <mergeCell ref="AB82:AC82"/>
    <mergeCell ref="AD82:AQ82"/>
    <mergeCell ref="AR82:AV82"/>
    <mergeCell ref="D83:E83"/>
    <mergeCell ref="T83:W83"/>
    <mergeCell ref="X83:AA83"/>
    <mergeCell ref="AB83:AC83"/>
    <mergeCell ref="AD83:AQ83"/>
    <mergeCell ref="AR83:AV83"/>
    <mergeCell ref="D84:E84"/>
    <mergeCell ref="T84:W84"/>
    <mergeCell ref="X84:AA84"/>
    <mergeCell ref="AB84:AC84"/>
    <mergeCell ref="AD84:AQ84"/>
    <mergeCell ref="AR84:AV84"/>
    <mergeCell ref="D85:E85"/>
    <mergeCell ref="T85:W85"/>
    <mergeCell ref="X85:AA85"/>
    <mergeCell ref="AB85:AC85"/>
    <mergeCell ref="AD85:AQ85"/>
    <mergeCell ref="AR85:AV85"/>
    <mergeCell ref="D86:E86"/>
    <mergeCell ref="T86:W86"/>
    <mergeCell ref="X86:AA86"/>
    <mergeCell ref="AB86:AC86"/>
    <mergeCell ref="AD86:AQ86"/>
    <mergeCell ref="AR86:AV86"/>
    <mergeCell ref="D87:E87"/>
    <mergeCell ref="T87:W87"/>
    <mergeCell ref="X87:AA87"/>
    <mergeCell ref="AB87:AC87"/>
    <mergeCell ref="AD87:AQ87"/>
    <mergeCell ref="AR87:AV87"/>
    <mergeCell ref="D88:E88"/>
    <mergeCell ref="T88:W88"/>
    <mergeCell ref="X88:AA88"/>
    <mergeCell ref="AB88:AC88"/>
    <mergeCell ref="AD88:AQ88"/>
    <mergeCell ref="AR88:AV88"/>
    <mergeCell ref="D89:E89"/>
    <mergeCell ref="T89:W89"/>
    <mergeCell ref="X89:AA89"/>
    <mergeCell ref="AB89:AC89"/>
    <mergeCell ref="AD89:AQ89"/>
    <mergeCell ref="AR89:AV89"/>
    <mergeCell ref="D90:E90"/>
    <mergeCell ref="T90:W90"/>
    <mergeCell ref="X90:AA90"/>
    <mergeCell ref="AB90:AC90"/>
    <mergeCell ref="AD90:AQ90"/>
    <mergeCell ref="AR90:AV90"/>
    <mergeCell ref="D91:E91"/>
    <mergeCell ref="T91:W91"/>
    <mergeCell ref="AB91:AC91"/>
    <mergeCell ref="AD91:AQ91"/>
    <mergeCell ref="AR91:AV91"/>
    <mergeCell ref="D92:E92"/>
    <mergeCell ref="T92:W92"/>
    <mergeCell ref="AB92:AC92"/>
    <mergeCell ref="AD92:AQ92"/>
    <mergeCell ref="AR92:AV92"/>
    <mergeCell ref="D93:E93"/>
    <mergeCell ref="T93:W93"/>
    <mergeCell ref="AB93:AC93"/>
    <mergeCell ref="AD93:AQ93"/>
    <mergeCell ref="AR93:AV93"/>
    <mergeCell ref="D94:E94"/>
    <mergeCell ref="T94:W94"/>
    <mergeCell ref="AB94:AC94"/>
    <mergeCell ref="AD94:AQ94"/>
    <mergeCell ref="AR94:AV94"/>
    <mergeCell ref="D95:E95"/>
    <mergeCell ref="T95:W95"/>
    <mergeCell ref="AB95:AC95"/>
    <mergeCell ref="AD95:AQ95"/>
    <mergeCell ref="AR95:AV95"/>
    <mergeCell ref="D96:E96"/>
    <mergeCell ref="T96:W96"/>
    <mergeCell ref="AB96:AC96"/>
    <mergeCell ref="AD96:AQ96"/>
    <mergeCell ref="AR96:AV96"/>
    <mergeCell ref="D97:E97"/>
    <mergeCell ref="T97:W97"/>
    <mergeCell ref="AB97:AC97"/>
    <mergeCell ref="AD97:AQ97"/>
    <mergeCell ref="AR97:AV97"/>
    <mergeCell ref="D98:E98"/>
    <mergeCell ref="T98:W98"/>
    <mergeCell ref="AB98:AC98"/>
    <mergeCell ref="AD98:AQ98"/>
    <mergeCell ref="AR98:AV98"/>
    <mergeCell ref="D99:E99"/>
    <mergeCell ref="T99:W99"/>
    <mergeCell ref="AB99:AC99"/>
    <mergeCell ref="AD99:AQ99"/>
    <mergeCell ref="AR99:AV99"/>
    <mergeCell ref="D100:E100"/>
    <mergeCell ref="T100:W100"/>
    <mergeCell ref="AB100:AC100"/>
    <mergeCell ref="AD100:AQ100"/>
    <mergeCell ref="AR100:AV100"/>
    <mergeCell ref="D101:E101"/>
    <mergeCell ref="T101:W101"/>
    <mergeCell ref="AB101:AC101"/>
    <mergeCell ref="AD101:AQ101"/>
    <mergeCell ref="AR101:AV101"/>
    <mergeCell ref="D102:E102"/>
    <mergeCell ref="T102:W102"/>
    <mergeCell ref="AB102:AC102"/>
    <mergeCell ref="AD102:AQ102"/>
    <mergeCell ref="AR102:AV102"/>
    <mergeCell ref="AN3:AV5"/>
    <mergeCell ref="E3:K4"/>
    <mergeCell ref="D15:E17"/>
    <mergeCell ref="AR15:AV17"/>
    <mergeCell ref="P15:S17"/>
    <mergeCell ref="T15:W17"/>
    <mergeCell ref="X15:AA17"/>
    <mergeCell ref="AB15:AE17"/>
    <mergeCell ref="AF15:AI17"/>
    <mergeCell ref="AJ15:AM17"/>
    <mergeCell ref="AN15:AQ17"/>
    <mergeCell ref="F15:O17"/>
    <mergeCell ref="AN7:AV7"/>
    <mergeCell ref="AR71:AV73"/>
    <mergeCell ref="D6:L11"/>
    <mergeCell ref="D105:E105"/>
    <mergeCell ref="T105:W105"/>
    <mergeCell ref="D106:E106"/>
    <mergeCell ref="T106:W106"/>
    <mergeCell ref="D107:E107"/>
    <mergeCell ref="T107:W107"/>
    <mergeCell ref="D108:E108"/>
    <mergeCell ref="T108:W108"/>
    <mergeCell ref="D71:E73"/>
    <mergeCell ref="AB71:AC73"/>
    <mergeCell ref="F71:S73"/>
    <mergeCell ref="T71:W73"/>
    <mergeCell ref="D103:E103"/>
    <mergeCell ref="T103:W103"/>
    <mergeCell ref="AB103:AC103"/>
    <mergeCell ref="AD103:AQ103"/>
    <mergeCell ref="AR103:AV103"/>
    <mergeCell ref="D104:E104"/>
    <mergeCell ref="T104:W104"/>
    <mergeCell ref="AB104:AC104"/>
    <mergeCell ref="AD104:AQ104"/>
    <mergeCell ref="AR104:AV10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D3:AV109"/>
  <sheetViews>
    <sheetView topLeftCell="C1" workbookViewId="0">
      <selection activeCell="F21" sqref="F21:O21"/>
    </sheetView>
  </sheetViews>
  <sheetFormatPr defaultColWidth="9.1796875" defaultRowHeight="11.5"/>
  <cols>
    <col min="1" max="2" width="9.1796875" style="1"/>
    <col min="3" max="48" width="3.453125" style="1" customWidth="1"/>
    <col min="49" max="16384" width="9.1796875" style="1"/>
  </cols>
  <sheetData>
    <row r="3" spans="4:48">
      <c r="D3" s="3"/>
      <c r="E3" s="233" t="s">
        <v>9</v>
      </c>
      <c r="F3" s="233"/>
      <c r="G3" s="233"/>
      <c r="H3" s="233"/>
      <c r="I3" s="233"/>
      <c r="J3" s="233"/>
      <c r="K3" s="233"/>
      <c r="L3" s="17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92" t="s">
        <v>327</v>
      </c>
      <c r="AO3" s="192"/>
      <c r="AP3" s="192"/>
      <c r="AQ3" s="192"/>
      <c r="AR3" s="192"/>
      <c r="AS3" s="192"/>
      <c r="AT3" s="192"/>
      <c r="AU3" s="192"/>
      <c r="AV3" s="193"/>
    </row>
    <row r="4" spans="4:48" ht="18">
      <c r="D4" s="69"/>
      <c r="E4" s="234"/>
      <c r="F4" s="234"/>
      <c r="G4" s="234"/>
      <c r="H4" s="234"/>
      <c r="I4" s="234"/>
      <c r="J4" s="234"/>
      <c r="K4" s="234"/>
      <c r="L4" s="19"/>
      <c r="M4" s="20"/>
      <c r="N4" s="21" t="s">
        <v>1</v>
      </c>
      <c r="O4" s="20"/>
      <c r="P4" s="20"/>
      <c r="Q4" s="20"/>
      <c r="R4" s="20"/>
      <c r="S4" s="20"/>
      <c r="T4" s="20"/>
      <c r="U4" s="20"/>
      <c r="V4" s="20"/>
      <c r="W4" s="20"/>
      <c r="X4" s="20"/>
      <c r="Y4" s="29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194"/>
      <c r="AO4" s="194"/>
      <c r="AP4" s="194"/>
      <c r="AQ4" s="194"/>
      <c r="AR4" s="194"/>
      <c r="AS4" s="194"/>
      <c r="AT4" s="194"/>
      <c r="AU4" s="194"/>
      <c r="AV4" s="195"/>
    </row>
    <row r="5" spans="4:48" ht="14">
      <c r="D5" s="5" t="s">
        <v>184</v>
      </c>
      <c r="E5" s="70"/>
      <c r="F5" s="71"/>
      <c r="G5" s="71"/>
      <c r="H5" s="71"/>
      <c r="I5" s="71"/>
      <c r="J5" s="71"/>
      <c r="K5" s="71"/>
      <c r="L5" s="71"/>
      <c r="M5" s="20"/>
      <c r="N5" s="22" t="s">
        <v>185</v>
      </c>
      <c r="O5" s="20"/>
      <c r="P5" s="20"/>
      <c r="Q5" s="20"/>
      <c r="R5" s="20"/>
      <c r="S5" s="20"/>
      <c r="T5" s="20"/>
      <c r="U5" s="20"/>
      <c r="V5" s="20"/>
      <c r="W5" s="20"/>
      <c r="X5" s="20"/>
      <c r="Y5" s="29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194"/>
      <c r="AO5" s="194"/>
      <c r="AP5" s="194"/>
      <c r="AQ5" s="194"/>
      <c r="AR5" s="194"/>
      <c r="AS5" s="194"/>
      <c r="AT5" s="194"/>
      <c r="AU5" s="194"/>
      <c r="AV5" s="195"/>
    </row>
    <row r="6" spans="4:48" ht="3" customHeight="1">
      <c r="D6" s="227" t="s">
        <v>328</v>
      </c>
      <c r="E6" s="228"/>
      <c r="F6" s="228"/>
      <c r="G6" s="228"/>
      <c r="H6" s="228"/>
      <c r="I6" s="228"/>
      <c r="J6" s="228"/>
      <c r="K6" s="228"/>
      <c r="L6" s="228"/>
      <c r="M6" s="20"/>
      <c r="N6" s="23"/>
      <c r="O6" s="20"/>
      <c r="P6" s="20"/>
      <c r="Q6" s="20"/>
      <c r="R6" s="20"/>
      <c r="S6" s="20"/>
      <c r="T6" s="20"/>
      <c r="U6" s="20"/>
      <c r="V6" s="20"/>
      <c r="W6" s="20"/>
      <c r="X6" s="20"/>
      <c r="Y6" s="29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30"/>
      <c r="AQ6" s="30"/>
      <c r="AR6" s="30"/>
      <c r="AS6" s="30"/>
      <c r="AT6" s="30"/>
      <c r="AU6" s="30"/>
      <c r="AV6" s="31"/>
    </row>
    <row r="7" spans="4:48">
      <c r="D7" s="227"/>
      <c r="E7" s="228"/>
      <c r="F7" s="228"/>
      <c r="G7" s="228"/>
      <c r="H7" s="228"/>
      <c r="I7" s="228"/>
      <c r="J7" s="228"/>
      <c r="K7" s="228"/>
      <c r="L7" s="228"/>
      <c r="M7" s="20"/>
      <c r="N7" s="23" t="s">
        <v>187</v>
      </c>
      <c r="O7" s="20"/>
      <c r="P7" s="20"/>
      <c r="Q7" s="20"/>
      <c r="R7" s="20"/>
      <c r="S7" s="20"/>
      <c r="T7" s="20"/>
      <c r="U7" s="20"/>
      <c r="V7" s="20"/>
      <c r="W7" s="20"/>
      <c r="X7" s="20"/>
      <c r="Y7" s="29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186" t="s">
        <v>188</v>
      </c>
      <c r="AO7" s="186"/>
      <c r="AP7" s="186"/>
      <c r="AQ7" s="186"/>
      <c r="AR7" s="186"/>
      <c r="AS7" s="186"/>
      <c r="AT7" s="186"/>
      <c r="AU7" s="186"/>
      <c r="AV7" s="187"/>
    </row>
    <row r="8" spans="4:48" ht="14">
      <c r="D8" s="227"/>
      <c r="E8" s="228"/>
      <c r="F8" s="228"/>
      <c r="G8" s="228"/>
      <c r="H8" s="228"/>
      <c r="I8" s="228"/>
      <c r="J8" s="228"/>
      <c r="K8" s="228"/>
      <c r="L8" s="228"/>
      <c r="M8" s="20"/>
      <c r="N8" s="24"/>
      <c r="O8" s="23" t="s">
        <v>189</v>
      </c>
      <c r="P8" s="20"/>
      <c r="Q8" s="20"/>
      <c r="R8" s="20"/>
      <c r="S8" s="20"/>
      <c r="T8" s="20"/>
      <c r="U8" s="20"/>
      <c r="V8" s="20"/>
      <c r="W8" s="20"/>
      <c r="X8" s="20"/>
      <c r="Y8" s="29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8">
        <f>INDUK1!E14</f>
        <v>2</v>
      </c>
      <c r="AQ8" s="28">
        <f>INDUK1!G14</f>
        <v>0</v>
      </c>
      <c r="AR8" s="28">
        <f>INDUK1!I14</f>
        <v>2</v>
      </c>
      <c r="AS8" s="28">
        <f>INDUK1!K14</f>
        <v>5</v>
      </c>
      <c r="AT8" s="30"/>
      <c r="AU8" s="30"/>
      <c r="AV8" s="31"/>
    </row>
    <row r="9" spans="4:48" ht="3" customHeight="1">
      <c r="D9" s="227"/>
      <c r="E9" s="228"/>
      <c r="F9" s="228"/>
      <c r="G9" s="228"/>
      <c r="H9" s="228"/>
      <c r="I9" s="228"/>
      <c r="J9" s="228"/>
      <c r="K9" s="228"/>
      <c r="L9" s="228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9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30"/>
      <c r="AQ9" s="30"/>
      <c r="AR9" s="30"/>
      <c r="AS9" s="30"/>
      <c r="AT9" s="30"/>
      <c r="AU9" s="30"/>
      <c r="AV9" s="31"/>
    </row>
    <row r="10" spans="4:48" ht="14">
      <c r="D10" s="227"/>
      <c r="E10" s="228"/>
      <c r="F10" s="228"/>
      <c r="G10" s="228"/>
      <c r="H10" s="228"/>
      <c r="I10" s="228"/>
      <c r="J10" s="228"/>
      <c r="K10" s="228"/>
      <c r="L10" s="228"/>
      <c r="M10" s="20"/>
      <c r="N10" s="25"/>
      <c r="O10" s="25" t="s">
        <v>28</v>
      </c>
      <c r="P10" s="20"/>
      <c r="Q10" s="20"/>
      <c r="R10" s="28">
        <f>INDUK1!AF21</f>
        <v>0</v>
      </c>
      <c r="S10" s="28">
        <f>INDUK1!AG21</f>
        <v>0</v>
      </c>
      <c r="T10" s="28">
        <f>INDUK1!AH21</f>
        <v>0</v>
      </c>
      <c r="U10" s="28">
        <f>INDUK1!AI21</f>
        <v>0</v>
      </c>
      <c r="V10" s="28">
        <f>INDUK1!AJ21</f>
        <v>0</v>
      </c>
      <c r="W10" s="28">
        <f>INDUK1!AK21</f>
        <v>0</v>
      </c>
      <c r="X10" s="28">
        <f>INDUK1!AL21</f>
        <v>0</v>
      </c>
      <c r="Y10" s="28">
        <f>INDUK1!AM21</f>
        <v>0</v>
      </c>
      <c r="Z10" s="28">
        <f>INDUK1!AN21</f>
        <v>0</v>
      </c>
      <c r="AA10" s="28">
        <f>INDUK1!AO21</f>
        <v>0</v>
      </c>
      <c r="AB10" s="28">
        <f>INDUK1!AP21</f>
        <v>0</v>
      </c>
      <c r="AC10" s="28">
        <f>INDUK1!AQ21</f>
        <v>0</v>
      </c>
      <c r="AD10" s="28">
        <f>INDUK1!AR21</f>
        <v>0</v>
      </c>
      <c r="AE10" s="28">
        <f>INDUK1!AS21</f>
        <v>0</v>
      </c>
      <c r="AF10" s="28">
        <f>INDUK1!AT21</f>
        <v>0</v>
      </c>
      <c r="AG10" s="28">
        <f>INDUK1!AU21</f>
        <v>0</v>
      </c>
      <c r="AH10" s="20"/>
      <c r="AI10" s="20"/>
      <c r="AJ10" s="20"/>
      <c r="AK10" s="20"/>
      <c r="AL10" s="20"/>
      <c r="AM10" s="20"/>
      <c r="AN10" s="20"/>
      <c r="AO10" s="20"/>
      <c r="AP10" s="30"/>
      <c r="AQ10" s="30"/>
      <c r="AR10" s="30"/>
      <c r="AS10" s="30"/>
      <c r="AT10" s="30"/>
      <c r="AU10" s="30"/>
      <c r="AV10" s="31"/>
    </row>
    <row r="11" spans="4:48">
      <c r="D11" s="229"/>
      <c r="E11" s="230"/>
      <c r="F11" s="230"/>
      <c r="G11" s="230"/>
      <c r="H11" s="230"/>
      <c r="I11" s="230"/>
      <c r="J11" s="230"/>
      <c r="K11" s="230"/>
      <c r="L11" s="230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32"/>
    </row>
    <row r="12" spans="4:48" ht="3" customHeight="1"/>
    <row r="13" spans="4:48">
      <c r="D13" s="7" t="s">
        <v>25</v>
      </c>
      <c r="E13" s="8" t="s">
        <v>190</v>
      </c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</row>
    <row r="14" spans="4:48" ht="3" customHeight="1"/>
    <row r="15" spans="4:48">
      <c r="D15" s="132" t="s">
        <v>191</v>
      </c>
      <c r="E15" s="132"/>
      <c r="F15" s="151" t="s">
        <v>192</v>
      </c>
      <c r="G15" s="151"/>
      <c r="H15" s="151"/>
      <c r="I15" s="151"/>
      <c r="J15" s="151"/>
      <c r="K15" s="151"/>
      <c r="L15" s="151"/>
      <c r="M15" s="151"/>
      <c r="N15" s="151"/>
      <c r="O15" s="151"/>
      <c r="P15" s="132" t="s">
        <v>193</v>
      </c>
      <c r="Q15" s="132"/>
      <c r="R15" s="132"/>
      <c r="S15" s="132"/>
      <c r="T15" s="132" t="s">
        <v>194</v>
      </c>
      <c r="U15" s="132"/>
      <c r="V15" s="132"/>
      <c r="W15" s="132"/>
      <c r="X15" s="132" t="s">
        <v>195</v>
      </c>
      <c r="Y15" s="132"/>
      <c r="Z15" s="132"/>
      <c r="AA15" s="132"/>
      <c r="AB15" s="132" t="s">
        <v>196</v>
      </c>
      <c r="AC15" s="132"/>
      <c r="AD15" s="132"/>
      <c r="AE15" s="132"/>
      <c r="AF15" s="132" t="s">
        <v>197</v>
      </c>
      <c r="AG15" s="132"/>
      <c r="AH15" s="132"/>
      <c r="AI15" s="132"/>
      <c r="AJ15" s="132" t="s">
        <v>198</v>
      </c>
      <c r="AK15" s="132"/>
      <c r="AL15" s="132"/>
      <c r="AM15" s="132"/>
      <c r="AN15" s="132" t="s">
        <v>199</v>
      </c>
      <c r="AO15" s="132"/>
      <c r="AP15" s="132"/>
      <c r="AQ15" s="132"/>
      <c r="AR15" s="132" t="s">
        <v>200</v>
      </c>
      <c r="AS15" s="132"/>
      <c r="AT15" s="132"/>
      <c r="AU15" s="132"/>
      <c r="AV15" s="132"/>
    </row>
    <row r="16" spans="4:48">
      <c r="D16" s="132"/>
      <c r="E16" s="132"/>
      <c r="F16" s="151"/>
      <c r="G16" s="151"/>
      <c r="H16" s="151"/>
      <c r="I16" s="151"/>
      <c r="J16" s="151"/>
      <c r="K16" s="151"/>
      <c r="L16" s="151"/>
      <c r="M16" s="151"/>
      <c r="N16" s="151"/>
      <c r="O16" s="151"/>
      <c r="P16" s="132"/>
      <c r="Q16" s="132"/>
      <c r="R16" s="132"/>
      <c r="S16" s="132"/>
      <c r="T16" s="132"/>
      <c r="U16" s="132"/>
      <c r="V16" s="132"/>
      <c r="W16" s="132"/>
      <c r="X16" s="132"/>
      <c r="Y16" s="132"/>
      <c r="Z16" s="132"/>
      <c r="AA16" s="132"/>
      <c r="AB16" s="132"/>
      <c r="AC16" s="132"/>
      <c r="AD16" s="132"/>
      <c r="AE16" s="132"/>
      <c r="AF16" s="132"/>
      <c r="AG16" s="132"/>
      <c r="AH16" s="132"/>
      <c r="AI16" s="132"/>
      <c r="AJ16" s="132"/>
      <c r="AK16" s="132"/>
      <c r="AL16" s="132"/>
      <c r="AM16" s="132"/>
      <c r="AN16" s="132"/>
      <c r="AO16" s="132"/>
      <c r="AP16" s="132"/>
      <c r="AQ16" s="132"/>
      <c r="AR16" s="132"/>
      <c r="AS16" s="132"/>
      <c r="AT16" s="132"/>
      <c r="AU16" s="132"/>
      <c r="AV16" s="132"/>
    </row>
    <row r="17" spans="4:48">
      <c r="D17" s="132"/>
      <c r="E17" s="132"/>
      <c r="F17" s="151"/>
      <c r="G17" s="151"/>
      <c r="H17" s="151"/>
      <c r="I17" s="151"/>
      <c r="J17" s="151"/>
      <c r="K17" s="151"/>
      <c r="L17" s="151"/>
      <c r="M17" s="151"/>
      <c r="N17" s="151"/>
      <c r="O17" s="151"/>
      <c r="P17" s="132"/>
      <c r="Q17" s="132"/>
      <c r="R17" s="132"/>
      <c r="S17" s="132"/>
      <c r="T17" s="132"/>
      <c r="U17" s="132"/>
      <c r="V17" s="132"/>
      <c r="W17" s="132"/>
      <c r="X17" s="132"/>
      <c r="Y17" s="132"/>
      <c r="Z17" s="132"/>
      <c r="AA17" s="132"/>
      <c r="AB17" s="132"/>
      <c r="AC17" s="132"/>
      <c r="AD17" s="132"/>
      <c r="AE17" s="132"/>
      <c r="AF17" s="132"/>
      <c r="AG17" s="132"/>
      <c r="AH17" s="132"/>
      <c r="AI17" s="132"/>
      <c r="AJ17" s="132"/>
      <c r="AK17" s="132"/>
      <c r="AL17" s="132"/>
      <c r="AM17" s="132"/>
      <c r="AN17" s="132"/>
      <c r="AO17" s="132"/>
      <c r="AP17" s="132"/>
      <c r="AQ17" s="132"/>
      <c r="AR17" s="132"/>
      <c r="AS17" s="132"/>
      <c r="AT17" s="132"/>
      <c r="AU17" s="132"/>
      <c r="AV17" s="132"/>
    </row>
    <row r="18" spans="4:48">
      <c r="D18" s="162" t="s">
        <v>201</v>
      </c>
      <c r="E18" s="161"/>
      <c r="F18" s="162" t="s">
        <v>202</v>
      </c>
      <c r="G18" s="161"/>
      <c r="H18" s="161"/>
      <c r="I18" s="161"/>
      <c r="J18" s="161"/>
      <c r="K18" s="161"/>
      <c r="L18" s="161"/>
      <c r="M18" s="161"/>
      <c r="N18" s="161"/>
      <c r="O18" s="161"/>
      <c r="P18" s="162" t="s">
        <v>203</v>
      </c>
      <c r="Q18" s="161"/>
      <c r="R18" s="161"/>
      <c r="S18" s="161"/>
      <c r="T18" s="162" t="s">
        <v>204</v>
      </c>
      <c r="U18" s="161"/>
      <c r="V18" s="161"/>
      <c r="W18" s="161"/>
      <c r="X18" s="162" t="s">
        <v>205</v>
      </c>
      <c r="Y18" s="161"/>
      <c r="Z18" s="161"/>
      <c r="AA18" s="161"/>
      <c r="AB18" s="161" t="s">
        <v>206</v>
      </c>
      <c r="AC18" s="161"/>
      <c r="AD18" s="161"/>
      <c r="AE18" s="161"/>
      <c r="AF18" s="162" t="s">
        <v>207</v>
      </c>
      <c r="AG18" s="161"/>
      <c r="AH18" s="161"/>
      <c r="AI18" s="161"/>
      <c r="AJ18" s="162" t="s">
        <v>208</v>
      </c>
      <c r="AK18" s="161"/>
      <c r="AL18" s="161"/>
      <c r="AM18" s="161"/>
      <c r="AN18" s="162" t="s">
        <v>209</v>
      </c>
      <c r="AO18" s="161"/>
      <c r="AP18" s="161"/>
      <c r="AQ18" s="161"/>
      <c r="AR18" s="162" t="s">
        <v>210</v>
      </c>
      <c r="AS18" s="161"/>
      <c r="AT18" s="161"/>
      <c r="AU18" s="161"/>
      <c r="AV18" s="161"/>
    </row>
    <row r="19" spans="4:48">
      <c r="D19" s="237"/>
      <c r="E19" s="237"/>
      <c r="F19" s="236" t="s">
        <v>211</v>
      </c>
      <c r="G19" s="236"/>
      <c r="H19" s="236"/>
      <c r="I19" s="236"/>
      <c r="J19" s="236"/>
      <c r="K19" s="236"/>
      <c r="L19" s="236"/>
      <c r="M19" s="236"/>
      <c r="N19" s="236"/>
      <c r="O19" s="236"/>
      <c r="P19" s="238"/>
      <c r="Q19" s="238"/>
      <c r="R19" s="238"/>
      <c r="S19" s="238"/>
      <c r="T19" s="238"/>
      <c r="U19" s="238"/>
      <c r="V19" s="238"/>
      <c r="W19" s="238"/>
      <c r="X19" s="238"/>
      <c r="Y19" s="238"/>
      <c r="Z19" s="238"/>
      <c r="AA19" s="238"/>
      <c r="AB19" s="238"/>
      <c r="AC19" s="238"/>
      <c r="AD19" s="238"/>
      <c r="AE19" s="238"/>
      <c r="AF19" s="238"/>
      <c r="AG19" s="238"/>
      <c r="AH19" s="238"/>
      <c r="AI19" s="238"/>
      <c r="AJ19" s="238"/>
      <c r="AK19" s="238"/>
      <c r="AL19" s="238"/>
      <c r="AM19" s="238"/>
      <c r="AN19" s="238"/>
      <c r="AO19" s="238"/>
      <c r="AP19" s="238"/>
      <c r="AQ19" s="238"/>
      <c r="AR19" s="238"/>
      <c r="AS19" s="238"/>
      <c r="AT19" s="238"/>
      <c r="AU19" s="238"/>
      <c r="AV19" s="238"/>
    </row>
    <row r="20" spans="4:48">
      <c r="D20" s="172">
        <v>4002</v>
      </c>
      <c r="E20" s="172"/>
      <c r="F20" s="245" t="s">
        <v>212</v>
      </c>
      <c r="G20" s="245"/>
      <c r="H20" s="245"/>
      <c r="I20" s="245"/>
      <c r="J20" s="245"/>
      <c r="K20" s="245"/>
      <c r="L20" s="245"/>
      <c r="M20" s="245"/>
      <c r="N20" s="245"/>
      <c r="O20" s="245"/>
      <c r="P20" s="243"/>
      <c r="Q20" s="243"/>
      <c r="R20" s="243"/>
      <c r="S20" s="243"/>
      <c r="T20" s="243"/>
      <c r="U20" s="243"/>
      <c r="V20" s="243"/>
      <c r="W20" s="243"/>
      <c r="X20" s="243"/>
      <c r="Y20" s="243"/>
      <c r="Z20" s="243"/>
      <c r="AA20" s="243"/>
      <c r="AB20" s="243"/>
      <c r="AC20" s="243"/>
      <c r="AD20" s="243"/>
      <c r="AE20" s="243"/>
      <c r="AF20" s="243"/>
      <c r="AG20" s="243"/>
      <c r="AH20" s="243"/>
      <c r="AI20" s="243"/>
      <c r="AJ20" s="243"/>
      <c r="AK20" s="243"/>
      <c r="AL20" s="243"/>
      <c r="AM20" s="243"/>
      <c r="AN20" s="243"/>
      <c r="AO20" s="243"/>
      <c r="AP20" s="243"/>
      <c r="AQ20" s="243"/>
      <c r="AR20" s="243"/>
      <c r="AS20" s="243"/>
      <c r="AT20" s="243"/>
      <c r="AU20" s="243"/>
      <c r="AV20" s="243"/>
    </row>
    <row r="21" spans="4:48">
      <c r="D21" s="172">
        <v>4003</v>
      </c>
      <c r="E21" s="172"/>
      <c r="F21" s="245" t="s">
        <v>213</v>
      </c>
      <c r="G21" s="245"/>
      <c r="H21" s="245"/>
      <c r="I21" s="245"/>
      <c r="J21" s="245"/>
      <c r="K21" s="245"/>
      <c r="L21" s="245"/>
      <c r="M21" s="245"/>
      <c r="N21" s="245"/>
      <c r="O21" s="245"/>
      <c r="P21" s="243"/>
      <c r="Q21" s="243"/>
      <c r="R21" s="243"/>
      <c r="S21" s="243"/>
      <c r="T21" s="243"/>
      <c r="U21" s="243"/>
      <c r="V21" s="243"/>
      <c r="W21" s="243"/>
      <c r="X21" s="243"/>
      <c r="Y21" s="243"/>
      <c r="Z21" s="243"/>
      <c r="AA21" s="243"/>
      <c r="AB21" s="243"/>
      <c r="AC21" s="243"/>
      <c r="AD21" s="243"/>
      <c r="AE21" s="243"/>
      <c r="AF21" s="243"/>
      <c r="AG21" s="243"/>
      <c r="AH21" s="243"/>
      <c r="AI21" s="243"/>
      <c r="AJ21" s="243"/>
      <c r="AK21" s="243"/>
      <c r="AL21" s="243"/>
      <c r="AM21" s="243"/>
      <c r="AN21" s="243"/>
      <c r="AO21" s="243"/>
      <c r="AP21" s="243"/>
      <c r="AQ21" s="243"/>
      <c r="AR21" s="243"/>
      <c r="AS21" s="243"/>
      <c r="AT21" s="243"/>
      <c r="AU21" s="243"/>
      <c r="AV21" s="243"/>
    </row>
    <row r="22" spans="4:48">
      <c r="D22" s="172">
        <v>4004</v>
      </c>
      <c r="E22" s="172"/>
      <c r="F22" s="245" t="s">
        <v>214</v>
      </c>
      <c r="G22" s="245"/>
      <c r="H22" s="245"/>
      <c r="I22" s="245"/>
      <c r="J22" s="245"/>
      <c r="K22" s="245"/>
      <c r="L22" s="245"/>
      <c r="M22" s="245"/>
      <c r="N22" s="245"/>
      <c r="O22" s="245"/>
      <c r="P22" s="243"/>
      <c r="Q22" s="243"/>
      <c r="R22" s="243"/>
      <c r="S22" s="243"/>
      <c r="T22" s="238"/>
      <c r="U22" s="238"/>
      <c r="V22" s="238"/>
      <c r="W22" s="238"/>
      <c r="X22" s="238"/>
      <c r="Y22" s="238"/>
      <c r="Z22" s="238"/>
      <c r="AA22" s="238"/>
      <c r="AB22" s="243"/>
      <c r="AC22" s="243"/>
      <c r="AD22" s="243"/>
      <c r="AE22" s="243"/>
      <c r="AF22" s="238"/>
      <c r="AG22" s="238"/>
      <c r="AH22" s="238"/>
      <c r="AI22" s="238"/>
      <c r="AJ22" s="238"/>
      <c r="AK22" s="238"/>
      <c r="AL22" s="238"/>
      <c r="AM22" s="238"/>
      <c r="AN22" s="238"/>
      <c r="AO22" s="238"/>
      <c r="AP22" s="238"/>
      <c r="AQ22" s="238"/>
      <c r="AR22" s="243"/>
      <c r="AS22" s="243"/>
      <c r="AT22" s="243"/>
      <c r="AU22" s="243"/>
      <c r="AV22" s="243"/>
    </row>
    <row r="23" spans="4:48">
      <c r="D23" s="237"/>
      <c r="E23" s="237"/>
      <c r="F23" s="236" t="s">
        <v>215</v>
      </c>
      <c r="G23" s="236"/>
      <c r="H23" s="236"/>
      <c r="I23" s="236"/>
      <c r="J23" s="236"/>
      <c r="K23" s="236"/>
      <c r="L23" s="236"/>
      <c r="M23" s="236"/>
      <c r="N23" s="236"/>
      <c r="O23" s="236"/>
      <c r="P23" s="238"/>
      <c r="Q23" s="238"/>
      <c r="R23" s="238"/>
      <c r="S23" s="238"/>
      <c r="T23" s="238"/>
      <c r="U23" s="238"/>
      <c r="V23" s="238"/>
      <c r="W23" s="238"/>
      <c r="X23" s="238"/>
      <c r="Y23" s="238"/>
      <c r="Z23" s="238"/>
      <c r="AA23" s="238"/>
      <c r="AB23" s="238"/>
      <c r="AC23" s="238"/>
      <c r="AD23" s="238"/>
      <c r="AE23" s="238"/>
      <c r="AF23" s="238"/>
      <c r="AG23" s="238"/>
      <c r="AH23" s="238"/>
      <c r="AI23" s="238"/>
      <c r="AJ23" s="238"/>
      <c r="AK23" s="238"/>
      <c r="AL23" s="238"/>
      <c r="AM23" s="238"/>
      <c r="AN23" s="238"/>
      <c r="AO23" s="238"/>
      <c r="AP23" s="238"/>
      <c r="AQ23" s="238"/>
      <c r="AR23" s="238"/>
      <c r="AS23" s="238"/>
      <c r="AT23" s="238"/>
      <c r="AU23" s="238"/>
      <c r="AV23" s="238"/>
    </row>
    <row r="24" spans="4:48">
      <c r="D24" s="172">
        <v>4011</v>
      </c>
      <c r="E24" s="172"/>
      <c r="F24" s="74"/>
      <c r="G24" s="75" t="s">
        <v>216</v>
      </c>
      <c r="H24" s="75"/>
      <c r="I24" s="75"/>
      <c r="J24" s="75"/>
      <c r="K24" s="75"/>
      <c r="L24" s="75"/>
      <c r="M24" s="75"/>
      <c r="N24" s="75"/>
      <c r="O24" s="79"/>
      <c r="P24" s="243"/>
      <c r="Q24" s="243"/>
      <c r="R24" s="243"/>
      <c r="S24" s="243"/>
      <c r="T24" s="238"/>
      <c r="U24" s="238"/>
      <c r="V24" s="238"/>
      <c r="W24" s="238"/>
      <c r="X24" s="238"/>
      <c r="Y24" s="238"/>
      <c r="Z24" s="238"/>
      <c r="AA24" s="238"/>
      <c r="AB24" s="243"/>
      <c r="AC24" s="243"/>
      <c r="AD24" s="243"/>
      <c r="AE24" s="243"/>
      <c r="AF24" s="243"/>
      <c r="AG24" s="243"/>
      <c r="AH24" s="243"/>
      <c r="AI24" s="243"/>
      <c r="AJ24" s="243"/>
      <c r="AK24" s="243"/>
      <c r="AL24" s="243"/>
      <c r="AM24" s="243"/>
      <c r="AN24" s="243"/>
      <c r="AO24" s="243"/>
      <c r="AP24" s="243"/>
      <c r="AQ24" s="243"/>
      <c r="AR24" s="243"/>
      <c r="AS24" s="243"/>
      <c r="AT24" s="243"/>
      <c r="AU24" s="243"/>
      <c r="AV24" s="243"/>
    </row>
    <row r="25" spans="4:48">
      <c r="D25" s="172">
        <v>4012</v>
      </c>
      <c r="E25" s="172"/>
      <c r="F25" s="74"/>
      <c r="G25" s="75" t="s">
        <v>217</v>
      </c>
      <c r="H25" s="75"/>
      <c r="I25" s="75"/>
      <c r="J25" s="75"/>
      <c r="K25" s="75"/>
      <c r="L25" s="75"/>
      <c r="M25" s="75"/>
      <c r="N25" s="75"/>
      <c r="O25" s="79"/>
      <c r="P25" s="243"/>
      <c r="Q25" s="243"/>
      <c r="R25" s="243"/>
      <c r="S25" s="243"/>
      <c r="T25" s="238"/>
      <c r="U25" s="238"/>
      <c r="V25" s="238"/>
      <c r="W25" s="238"/>
      <c r="X25" s="238"/>
      <c r="Y25" s="238"/>
      <c r="Z25" s="238"/>
      <c r="AA25" s="238"/>
      <c r="AB25" s="243"/>
      <c r="AC25" s="243"/>
      <c r="AD25" s="243"/>
      <c r="AE25" s="243"/>
      <c r="AF25" s="243"/>
      <c r="AG25" s="243"/>
      <c r="AH25" s="243"/>
      <c r="AI25" s="243"/>
      <c r="AJ25" s="243"/>
      <c r="AK25" s="243"/>
      <c r="AL25" s="243"/>
      <c r="AM25" s="243"/>
      <c r="AN25" s="243"/>
      <c r="AO25" s="243"/>
      <c r="AP25" s="243"/>
      <c r="AQ25" s="243"/>
      <c r="AR25" s="243"/>
      <c r="AS25" s="243"/>
      <c r="AT25" s="243"/>
      <c r="AU25" s="243"/>
      <c r="AV25" s="243"/>
    </row>
    <row r="26" spans="4:48">
      <c r="D26" s="172">
        <v>4013</v>
      </c>
      <c r="E26" s="172"/>
      <c r="F26" s="74"/>
      <c r="G26" s="75" t="s">
        <v>218</v>
      </c>
      <c r="H26" s="75"/>
      <c r="I26" s="75"/>
      <c r="J26" s="75"/>
      <c r="K26" s="75"/>
      <c r="L26" s="75"/>
      <c r="M26" s="75"/>
      <c r="N26" s="75"/>
      <c r="O26" s="79"/>
      <c r="P26" s="243"/>
      <c r="Q26" s="243"/>
      <c r="R26" s="243"/>
      <c r="S26" s="243"/>
      <c r="T26" s="238"/>
      <c r="U26" s="238"/>
      <c r="V26" s="238"/>
      <c r="W26" s="238"/>
      <c r="X26" s="238"/>
      <c r="Y26" s="238"/>
      <c r="Z26" s="238"/>
      <c r="AA26" s="238"/>
      <c r="AB26" s="243"/>
      <c r="AC26" s="243"/>
      <c r="AD26" s="243"/>
      <c r="AE26" s="243"/>
      <c r="AF26" s="243"/>
      <c r="AG26" s="243"/>
      <c r="AH26" s="243"/>
      <c r="AI26" s="243"/>
      <c r="AJ26" s="243"/>
      <c r="AK26" s="243"/>
      <c r="AL26" s="243"/>
      <c r="AM26" s="243"/>
      <c r="AN26" s="243"/>
      <c r="AO26" s="243"/>
      <c r="AP26" s="243"/>
      <c r="AQ26" s="243"/>
      <c r="AR26" s="243"/>
      <c r="AS26" s="243"/>
      <c r="AT26" s="243"/>
      <c r="AU26" s="243"/>
      <c r="AV26" s="243"/>
    </row>
    <row r="27" spans="4:48">
      <c r="D27" s="172">
        <v>4020</v>
      </c>
      <c r="E27" s="172"/>
      <c r="F27" s="245" t="s">
        <v>219</v>
      </c>
      <c r="G27" s="245"/>
      <c r="H27" s="245"/>
      <c r="I27" s="245"/>
      <c r="J27" s="245"/>
      <c r="K27" s="245"/>
      <c r="L27" s="245"/>
      <c r="M27" s="245"/>
      <c r="N27" s="245"/>
      <c r="O27" s="245"/>
      <c r="P27" s="243"/>
      <c r="Q27" s="243"/>
      <c r="R27" s="243"/>
      <c r="S27" s="243"/>
      <c r="T27" s="238"/>
      <c r="U27" s="238"/>
      <c r="V27" s="238"/>
      <c r="W27" s="238"/>
      <c r="X27" s="238"/>
      <c r="Y27" s="238"/>
      <c r="Z27" s="238"/>
      <c r="AA27" s="238"/>
      <c r="AB27" s="243"/>
      <c r="AC27" s="243"/>
      <c r="AD27" s="243"/>
      <c r="AE27" s="243"/>
      <c r="AF27" s="238"/>
      <c r="AG27" s="238"/>
      <c r="AH27" s="238"/>
      <c r="AI27" s="238"/>
      <c r="AJ27" s="238"/>
      <c r="AK27" s="238"/>
      <c r="AL27" s="238"/>
      <c r="AM27" s="238"/>
      <c r="AN27" s="238"/>
      <c r="AO27" s="238"/>
      <c r="AP27" s="238"/>
      <c r="AQ27" s="238"/>
      <c r="AR27" s="243"/>
      <c r="AS27" s="243"/>
      <c r="AT27" s="243"/>
      <c r="AU27" s="243"/>
      <c r="AV27" s="243"/>
    </row>
    <row r="28" spans="4:48">
      <c r="D28" s="237"/>
      <c r="E28" s="237"/>
      <c r="F28" s="236" t="s">
        <v>220</v>
      </c>
      <c r="G28" s="236"/>
      <c r="H28" s="236"/>
      <c r="I28" s="236"/>
      <c r="J28" s="236"/>
      <c r="K28" s="236"/>
      <c r="L28" s="236"/>
      <c r="M28" s="236"/>
      <c r="N28" s="236"/>
      <c r="O28" s="236"/>
      <c r="P28" s="238"/>
      <c r="Q28" s="238"/>
      <c r="R28" s="238"/>
      <c r="S28" s="238"/>
      <c r="T28" s="238"/>
      <c r="U28" s="238"/>
      <c r="V28" s="238"/>
      <c r="W28" s="238"/>
      <c r="X28" s="238"/>
      <c r="Y28" s="238"/>
      <c r="Z28" s="238"/>
      <c r="AA28" s="238"/>
      <c r="AB28" s="238"/>
      <c r="AC28" s="238"/>
      <c r="AD28" s="238"/>
      <c r="AE28" s="238"/>
      <c r="AF28" s="238"/>
      <c r="AG28" s="238"/>
      <c r="AH28" s="238"/>
      <c r="AI28" s="238"/>
      <c r="AJ28" s="238"/>
      <c r="AK28" s="238"/>
      <c r="AL28" s="238"/>
      <c r="AM28" s="238"/>
      <c r="AN28" s="238"/>
      <c r="AO28" s="238"/>
      <c r="AP28" s="238"/>
      <c r="AQ28" s="238"/>
      <c r="AR28" s="238"/>
      <c r="AS28" s="238"/>
      <c r="AT28" s="238"/>
      <c r="AU28" s="238"/>
      <c r="AV28" s="238"/>
    </row>
    <row r="29" spans="4:48">
      <c r="D29" s="172">
        <v>5001</v>
      </c>
      <c r="E29" s="172"/>
      <c r="F29" s="74"/>
      <c r="G29" s="75" t="s">
        <v>221</v>
      </c>
      <c r="H29" s="75"/>
      <c r="I29" s="75"/>
      <c r="J29" s="75"/>
      <c r="K29" s="75"/>
      <c r="L29" s="75"/>
      <c r="M29" s="75"/>
      <c r="N29" s="75"/>
      <c r="O29" s="79"/>
      <c r="P29" s="243"/>
      <c r="Q29" s="243"/>
      <c r="R29" s="243"/>
      <c r="S29" s="243"/>
      <c r="T29" s="238"/>
      <c r="U29" s="238"/>
      <c r="V29" s="238"/>
      <c r="W29" s="238"/>
      <c r="X29" s="238"/>
      <c r="Y29" s="238"/>
      <c r="Z29" s="238"/>
      <c r="AA29" s="238"/>
      <c r="AB29" s="243"/>
      <c r="AC29" s="243"/>
      <c r="AD29" s="243"/>
      <c r="AE29" s="243"/>
      <c r="AF29" s="243"/>
      <c r="AG29" s="243"/>
      <c r="AH29" s="243"/>
      <c r="AI29" s="243"/>
      <c r="AJ29" s="243"/>
      <c r="AK29" s="243"/>
      <c r="AL29" s="243"/>
      <c r="AM29" s="243"/>
      <c r="AN29" s="243"/>
      <c r="AO29" s="243"/>
      <c r="AP29" s="243"/>
      <c r="AQ29" s="243"/>
      <c r="AR29" s="243"/>
      <c r="AS29" s="243"/>
      <c r="AT29" s="243"/>
      <c r="AU29" s="243"/>
      <c r="AV29" s="243"/>
    </row>
    <row r="30" spans="4:48">
      <c r="D30" s="172">
        <v>5003</v>
      </c>
      <c r="E30" s="172"/>
      <c r="F30" s="74"/>
      <c r="G30" s="75" t="s">
        <v>222</v>
      </c>
      <c r="H30" s="75"/>
      <c r="I30" s="75"/>
      <c r="J30" s="75"/>
      <c r="K30" s="75"/>
      <c r="L30" s="75"/>
      <c r="M30" s="75"/>
      <c r="N30" s="75"/>
      <c r="O30" s="79"/>
      <c r="P30" s="243"/>
      <c r="Q30" s="243"/>
      <c r="R30" s="243"/>
      <c r="S30" s="243"/>
      <c r="T30" s="238"/>
      <c r="U30" s="238"/>
      <c r="V30" s="238"/>
      <c r="W30" s="238"/>
      <c r="X30" s="238"/>
      <c r="Y30" s="238"/>
      <c r="Z30" s="238"/>
      <c r="AA30" s="238"/>
      <c r="AB30" s="243"/>
      <c r="AC30" s="243"/>
      <c r="AD30" s="243"/>
      <c r="AE30" s="243"/>
      <c r="AF30" s="243"/>
      <c r="AG30" s="243"/>
      <c r="AH30" s="243"/>
      <c r="AI30" s="243"/>
      <c r="AJ30" s="243"/>
      <c r="AK30" s="243"/>
      <c r="AL30" s="243"/>
      <c r="AM30" s="243"/>
      <c r="AN30" s="243"/>
      <c r="AO30" s="243"/>
      <c r="AP30" s="243"/>
      <c r="AQ30" s="243"/>
      <c r="AR30" s="243"/>
      <c r="AS30" s="243"/>
      <c r="AT30" s="243"/>
      <c r="AU30" s="243"/>
      <c r="AV30" s="243"/>
    </row>
    <row r="31" spans="4:48">
      <c r="D31" s="172">
        <v>5007</v>
      </c>
      <c r="E31" s="172"/>
      <c r="F31" s="74"/>
      <c r="G31" s="75" t="s">
        <v>223</v>
      </c>
      <c r="H31" s="75"/>
      <c r="I31" s="75"/>
      <c r="J31" s="75"/>
      <c r="K31" s="75"/>
      <c r="L31" s="75"/>
      <c r="M31" s="75"/>
      <c r="N31" s="75"/>
      <c r="O31" s="79"/>
      <c r="P31" s="243"/>
      <c r="Q31" s="243"/>
      <c r="R31" s="243"/>
      <c r="S31" s="243"/>
      <c r="T31" s="238"/>
      <c r="U31" s="238"/>
      <c r="V31" s="238"/>
      <c r="W31" s="238"/>
      <c r="X31" s="238"/>
      <c r="Y31" s="238"/>
      <c r="Z31" s="238"/>
      <c r="AA31" s="238"/>
      <c r="AB31" s="243"/>
      <c r="AC31" s="243"/>
      <c r="AD31" s="243"/>
      <c r="AE31" s="243"/>
      <c r="AF31" s="243"/>
      <c r="AG31" s="243"/>
      <c r="AH31" s="243"/>
      <c r="AI31" s="243"/>
      <c r="AJ31" s="243"/>
      <c r="AK31" s="243"/>
      <c r="AL31" s="243"/>
      <c r="AM31" s="243"/>
      <c r="AN31" s="243"/>
      <c r="AO31" s="243"/>
      <c r="AP31" s="243"/>
      <c r="AQ31" s="243"/>
      <c r="AR31" s="243"/>
      <c r="AS31" s="243"/>
      <c r="AT31" s="243"/>
      <c r="AU31" s="243"/>
      <c r="AV31" s="243"/>
    </row>
    <row r="32" spans="4:48">
      <c r="D32" s="172">
        <v>5008</v>
      </c>
      <c r="E32" s="172"/>
      <c r="F32" s="74"/>
      <c r="G32" s="75" t="s">
        <v>224</v>
      </c>
      <c r="H32" s="75"/>
      <c r="I32" s="75"/>
      <c r="J32" s="75"/>
      <c r="K32" s="75"/>
      <c r="L32" s="75"/>
      <c r="M32" s="75"/>
      <c r="N32" s="75"/>
      <c r="O32" s="79"/>
      <c r="P32" s="243"/>
      <c r="Q32" s="243"/>
      <c r="R32" s="243"/>
      <c r="S32" s="243"/>
      <c r="T32" s="238"/>
      <c r="U32" s="238"/>
      <c r="V32" s="238"/>
      <c r="W32" s="238"/>
      <c r="X32" s="238"/>
      <c r="Y32" s="238"/>
      <c r="Z32" s="238"/>
      <c r="AA32" s="238"/>
      <c r="AB32" s="243"/>
      <c r="AC32" s="243"/>
      <c r="AD32" s="243"/>
      <c r="AE32" s="243"/>
      <c r="AF32" s="243"/>
      <c r="AG32" s="243"/>
      <c r="AH32" s="243"/>
      <c r="AI32" s="243"/>
      <c r="AJ32" s="243"/>
      <c r="AK32" s="243"/>
      <c r="AL32" s="243"/>
      <c r="AM32" s="243"/>
      <c r="AN32" s="243"/>
      <c r="AO32" s="243"/>
      <c r="AP32" s="243"/>
      <c r="AQ32" s="243"/>
      <c r="AR32" s="243"/>
      <c r="AS32" s="243"/>
      <c r="AT32" s="243"/>
      <c r="AU32" s="243"/>
      <c r="AV32" s="243"/>
    </row>
    <row r="33" spans="4:48">
      <c r="D33" s="172">
        <v>5009</v>
      </c>
      <c r="E33" s="172"/>
      <c r="F33" s="74"/>
      <c r="G33" s="75"/>
      <c r="H33" s="77" t="s">
        <v>225</v>
      </c>
      <c r="I33" s="75"/>
      <c r="J33" s="75"/>
      <c r="K33" s="75"/>
      <c r="L33" s="75"/>
      <c r="M33" s="75"/>
      <c r="N33" s="75"/>
      <c r="O33" s="79"/>
      <c r="P33" s="243"/>
      <c r="Q33" s="243"/>
      <c r="R33" s="243"/>
      <c r="S33" s="243"/>
      <c r="T33" s="238"/>
      <c r="U33" s="238"/>
      <c r="V33" s="238"/>
      <c r="W33" s="238"/>
      <c r="X33" s="238"/>
      <c r="Y33" s="238"/>
      <c r="Z33" s="238"/>
      <c r="AA33" s="238"/>
      <c r="AB33" s="243"/>
      <c r="AC33" s="243"/>
      <c r="AD33" s="243"/>
      <c r="AE33" s="243"/>
      <c r="AF33" s="243"/>
      <c r="AG33" s="243"/>
      <c r="AH33" s="243"/>
      <c r="AI33" s="243"/>
      <c r="AJ33" s="243"/>
      <c r="AK33" s="243"/>
      <c r="AL33" s="243"/>
      <c r="AM33" s="243"/>
      <c r="AN33" s="243"/>
      <c r="AO33" s="243"/>
      <c r="AP33" s="243"/>
      <c r="AQ33" s="243"/>
      <c r="AR33" s="243"/>
      <c r="AS33" s="243"/>
      <c r="AT33" s="243"/>
      <c r="AU33" s="243"/>
      <c r="AV33" s="243"/>
    </row>
    <row r="34" spans="4:48">
      <c r="D34" s="172">
        <v>5020</v>
      </c>
      <c r="E34" s="172"/>
      <c r="F34" s="74"/>
      <c r="G34" s="75" t="s">
        <v>226</v>
      </c>
      <c r="H34" s="75"/>
      <c r="I34" s="75"/>
      <c r="J34" s="75"/>
      <c r="K34" s="75"/>
      <c r="L34" s="75"/>
      <c r="M34" s="75"/>
      <c r="N34" s="75"/>
      <c r="O34" s="79"/>
      <c r="P34" s="243"/>
      <c r="Q34" s="243"/>
      <c r="R34" s="243"/>
      <c r="S34" s="243"/>
      <c r="T34" s="238"/>
      <c r="U34" s="238"/>
      <c r="V34" s="238"/>
      <c r="W34" s="238"/>
      <c r="X34" s="238"/>
      <c r="Y34" s="238"/>
      <c r="Z34" s="238"/>
      <c r="AA34" s="238"/>
      <c r="AB34" s="243"/>
      <c r="AC34" s="243"/>
      <c r="AD34" s="243"/>
      <c r="AE34" s="243"/>
      <c r="AF34" s="238"/>
      <c r="AG34" s="238"/>
      <c r="AH34" s="238"/>
      <c r="AI34" s="238"/>
      <c r="AJ34" s="238"/>
      <c r="AK34" s="238"/>
      <c r="AL34" s="238"/>
      <c r="AM34" s="238"/>
      <c r="AN34" s="238"/>
      <c r="AO34" s="238"/>
      <c r="AP34" s="238"/>
      <c r="AQ34" s="238"/>
      <c r="AR34" s="243"/>
      <c r="AS34" s="243"/>
      <c r="AT34" s="243"/>
      <c r="AU34" s="243"/>
      <c r="AV34" s="243"/>
    </row>
    <row r="35" spans="4:48">
      <c r="D35" s="172">
        <v>4300</v>
      </c>
      <c r="E35" s="172"/>
      <c r="F35" s="245" t="s">
        <v>227</v>
      </c>
      <c r="G35" s="245"/>
      <c r="H35" s="245"/>
      <c r="I35" s="245"/>
      <c r="J35" s="245"/>
      <c r="K35" s="245"/>
      <c r="L35" s="245"/>
      <c r="M35" s="245"/>
      <c r="N35" s="245"/>
      <c r="O35" s="245"/>
      <c r="P35" s="243"/>
      <c r="Q35" s="243"/>
      <c r="R35" s="243"/>
      <c r="S35" s="243"/>
      <c r="T35" s="238"/>
      <c r="U35" s="238"/>
      <c r="V35" s="238"/>
      <c r="W35" s="238"/>
      <c r="X35" s="238"/>
      <c r="Y35" s="238"/>
      <c r="Z35" s="238"/>
      <c r="AA35" s="238"/>
      <c r="AB35" s="243"/>
      <c r="AC35" s="243"/>
      <c r="AD35" s="243"/>
      <c r="AE35" s="243"/>
      <c r="AF35" s="238"/>
      <c r="AG35" s="238"/>
      <c r="AH35" s="238"/>
      <c r="AI35" s="238"/>
      <c r="AJ35" s="238"/>
      <c r="AK35" s="238"/>
      <c r="AL35" s="238"/>
      <c r="AM35" s="238"/>
      <c r="AN35" s="238"/>
      <c r="AO35" s="238"/>
      <c r="AP35" s="238"/>
      <c r="AQ35" s="238"/>
      <c r="AR35" s="243"/>
      <c r="AS35" s="243"/>
      <c r="AT35" s="243"/>
      <c r="AU35" s="243"/>
      <c r="AV35" s="243"/>
    </row>
    <row r="36" spans="4:48">
      <c r="D36" s="172">
        <v>4199</v>
      </c>
      <c r="E36" s="172"/>
      <c r="F36" s="245" t="s">
        <v>228</v>
      </c>
      <c r="G36" s="245"/>
      <c r="H36" s="245"/>
      <c r="I36" s="245"/>
      <c r="J36" s="245"/>
      <c r="K36" s="245"/>
      <c r="L36" s="245"/>
      <c r="M36" s="245"/>
      <c r="N36" s="245"/>
      <c r="O36" s="245"/>
      <c r="P36" s="243"/>
      <c r="Q36" s="243"/>
      <c r="R36" s="243"/>
      <c r="S36" s="243"/>
      <c r="T36" s="243"/>
      <c r="U36" s="243"/>
      <c r="V36" s="243"/>
      <c r="W36" s="243"/>
      <c r="X36" s="243"/>
      <c r="Y36" s="243"/>
      <c r="Z36" s="243"/>
      <c r="AA36" s="243"/>
      <c r="AB36" s="243"/>
      <c r="AC36" s="243"/>
      <c r="AD36" s="243"/>
      <c r="AE36" s="243"/>
      <c r="AF36" s="243"/>
      <c r="AG36" s="243"/>
      <c r="AH36" s="243"/>
      <c r="AI36" s="243"/>
      <c r="AJ36" s="243"/>
      <c r="AK36" s="243"/>
      <c r="AL36" s="243"/>
      <c r="AM36" s="243"/>
      <c r="AN36" s="243"/>
      <c r="AO36" s="243"/>
      <c r="AP36" s="243"/>
      <c r="AQ36" s="243"/>
      <c r="AR36" s="243"/>
      <c r="AS36" s="243"/>
      <c r="AT36" s="243"/>
      <c r="AU36" s="243"/>
      <c r="AV36" s="243"/>
    </row>
    <row r="37" spans="4:48">
      <c r="D37" s="237"/>
      <c r="E37" s="237"/>
      <c r="F37" s="236" t="s">
        <v>229</v>
      </c>
      <c r="G37" s="236"/>
      <c r="H37" s="236"/>
      <c r="I37" s="236"/>
      <c r="J37" s="236"/>
      <c r="K37" s="236"/>
      <c r="L37" s="236"/>
      <c r="M37" s="236"/>
      <c r="N37" s="236"/>
      <c r="O37" s="236"/>
      <c r="P37" s="238"/>
      <c r="Q37" s="238"/>
      <c r="R37" s="238"/>
      <c r="S37" s="238"/>
      <c r="T37" s="238"/>
      <c r="U37" s="238"/>
      <c r="V37" s="238"/>
      <c r="W37" s="238"/>
      <c r="X37" s="238"/>
      <c r="Y37" s="238"/>
      <c r="Z37" s="238"/>
      <c r="AA37" s="238"/>
      <c r="AB37" s="238"/>
      <c r="AC37" s="238"/>
      <c r="AD37" s="238"/>
      <c r="AE37" s="238"/>
      <c r="AF37" s="238"/>
      <c r="AG37" s="238"/>
      <c r="AH37" s="238"/>
      <c r="AI37" s="238"/>
      <c r="AJ37" s="238"/>
      <c r="AK37" s="238"/>
      <c r="AL37" s="238"/>
      <c r="AM37" s="238"/>
      <c r="AN37" s="238"/>
      <c r="AO37" s="238"/>
      <c r="AP37" s="238"/>
      <c r="AQ37" s="238"/>
      <c r="AR37" s="238"/>
      <c r="AS37" s="238"/>
      <c r="AT37" s="238"/>
      <c r="AU37" s="238"/>
      <c r="AV37" s="238"/>
    </row>
    <row r="38" spans="4:48">
      <c r="D38" s="172">
        <v>5311</v>
      </c>
      <c r="E38" s="172"/>
      <c r="F38" s="74"/>
      <c r="G38" s="75" t="s">
        <v>230</v>
      </c>
      <c r="H38" s="75"/>
      <c r="I38" s="75"/>
      <c r="J38" s="75"/>
      <c r="K38" s="75"/>
      <c r="L38" s="75"/>
      <c r="M38" s="75"/>
      <c r="N38" s="75"/>
      <c r="O38" s="79"/>
      <c r="P38" s="243"/>
      <c r="Q38" s="243"/>
      <c r="R38" s="243"/>
      <c r="S38" s="243"/>
      <c r="T38" s="238"/>
      <c r="U38" s="238"/>
      <c r="V38" s="238"/>
      <c r="W38" s="238"/>
      <c r="X38" s="238"/>
      <c r="Y38" s="238"/>
      <c r="Z38" s="238"/>
      <c r="AA38" s="238"/>
      <c r="AB38" s="243"/>
      <c r="AC38" s="243"/>
      <c r="AD38" s="243"/>
      <c r="AE38" s="243"/>
      <c r="AF38" s="243"/>
      <c r="AG38" s="243"/>
      <c r="AH38" s="243"/>
      <c r="AI38" s="243"/>
      <c r="AJ38" s="243"/>
      <c r="AK38" s="243"/>
      <c r="AL38" s="243"/>
      <c r="AM38" s="243"/>
      <c r="AN38" s="243"/>
      <c r="AO38" s="243"/>
      <c r="AP38" s="243"/>
      <c r="AQ38" s="243"/>
      <c r="AR38" s="243"/>
      <c r="AS38" s="243"/>
      <c r="AT38" s="243"/>
      <c r="AU38" s="243"/>
      <c r="AV38" s="243"/>
    </row>
    <row r="39" spans="4:48">
      <c r="D39" s="172">
        <v>5312</v>
      </c>
      <c r="E39" s="172"/>
      <c r="F39" s="74"/>
      <c r="G39" s="75" t="s">
        <v>231</v>
      </c>
      <c r="H39" s="75"/>
      <c r="I39" s="75"/>
      <c r="J39" s="75"/>
      <c r="K39" s="75"/>
      <c r="L39" s="75"/>
      <c r="M39" s="75"/>
      <c r="N39" s="75"/>
      <c r="O39" s="79"/>
      <c r="P39" s="243"/>
      <c r="Q39" s="243"/>
      <c r="R39" s="243"/>
      <c r="S39" s="243"/>
      <c r="T39" s="238"/>
      <c r="U39" s="238"/>
      <c r="V39" s="238"/>
      <c r="W39" s="238"/>
      <c r="X39" s="238"/>
      <c r="Y39" s="238"/>
      <c r="Z39" s="238"/>
      <c r="AA39" s="238"/>
      <c r="AB39" s="243"/>
      <c r="AC39" s="243"/>
      <c r="AD39" s="243"/>
      <c r="AE39" s="243"/>
      <c r="AF39" s="243"/>
      <c r="AG39" s="243"/>
      <c r="AH39" s="243"/>
      <c r="AI39" s="243"/>
      <c r="AJ39" s="243"/>
      <c r="AK39" s="243"/>
      <c r="AL39" s="243"/>
      <c r="AM39" s="243"/>
      <c r="AN39" s="243"/>
      <c r="AO39" s="243"/>
      <c r="AP39" s="243"/>
      <c r="AQ39" s="243"/>
      <c r="AR39" s="243"/>
      <c r="AS39" s="243"/>
      <c r="AT39" s="243"/>
      <c r="AU39" s="243"/>
      <c r="AV39" s="243"/>
    </row>
    <row r="40" spans="4:48">
      <c r="D40" s="172">
        <v>5313</v>
      </c>
      <c r="E40" s="172"/>
      <c r="F40" s="74"/>
      <c r="G40" s="75" t="s">
        <v>232</v>
      </c>
      <c r="H40" s="75"/>
      <c r="I40" s="75"/>
      <c r="J40" s="75"/>
      <c r="K40" s="75"/>
      <c r="L40" s="75"/>
      <c r="M40" s="75"/>
      <c r="N40" s="75"/>
      <c r="O40" s="79"/>
      <c r="P40" s="243"/>
      <c r="Q40" s="243"/>
      <c r="R40" s="243"/>
      <c r="S40" s="243"/>
      <c r="T40" s="238"/>
      <c r="U40" s="238"/>
      <c r="V40" s="238"/>
      <c r="W40" s="238"/>
      <c r="X40" s="238"/>
      <c r="Y40" s="238"/>
      <c r="Z40" s="238"/>
      <c r="AA40" s="238"/>
      <c r="AB40" s="243"/>
      <c r="AC40" s="243"/>
      <c r="AD40" s="243"/>
      <c r="AE40" s="243"/>
      <c r="AF40" s="243"/>
      <c r="AG40" s="243"/>
      <c r="AH40" s="243"/>
      <c r="AI40" s="243"/>
      <c r="AJ40" s="243"/>
      <c r="AK40" s="243"/>
      <c r="AL40" s="243"/>
      <c r="AM40" s="243"/>
      <c r="AN40" s="243"/>
      <c r="AO40" s="243"/>
      <c r="AP40" s="243"/>
      <c r="AQ40" s="243"/>
      <c r="AR40" s="243"/>
      <c r="AS40" s="243"/>
      <c r="AT40" s="243"/>
      <c r="AU40" s="243"/>
      <c r="AV40" s="243"/>
    </row>
    <row r="41" spans="4:48">
      <c r="D41" s="172">
        <v>5314</v>
      </c>
      <c r="E41" s="172"/>
      <c r="F41" s="74"/>
      <c r="G41" s="75" t="s">
        <v>233</v>
      </c>
      <c r="H41" s="75"/>
      <c r="I41" s="75"/>
      <c r="J41" s="75"/>
      <c r="K41" s="75"/>
      <c r="L41" s="75"/>
      <c r="M41" s="75"/>
      <c r="N41" s="75"/>
      <c r="O41" s="79"/>
      <c r="P41" s="243"/>
      <c r="Q41" s="243"/>
      <c r="R41" s="243"/>
      <c r="S41" s="243"/>
      <c r="T41" s="238"/>
      <c r="U41" s="238"/>
      <c r="V41" s="238"/>
      <c r="W41" s="238"/>
      <c r="X41" s="238"/>
      <c r="Y41" s="238"/>
      <c r="Z41" s="238"/>
      <c r="AA41" s="238"/>
      <c r="AB41" s="243"/>
      <c r="AC41" s="243"/>
      <c r="AD41" s="243"/>
      <c r="AE41" s="243"/>
      <c r="AF41" s="243"/>
      <c r="AG41" s="243"/>
      <c r="AH41" s="243"/>
      <c r="AI41" s="243"/>
      <c r="AJ41" s="243"/>
      <c r="AK41" s="243"/>
      <c r="AL41" s="243"/>
      <c r="AM41" s="243"/>
      <c r="AN41" s="243"/>
      <c r="AO41" s="243"/>
      <c r="AP41" s="243"/>
      <c r="AQ41" s="243"/>
      <c r="AR41" s="243"/>
      <c r="AS41" s="243"/>
      <c r="AT41" s="243"/>
      <c r="AU41" s="243"/>
      <c r="AV41" s="243"/>
    </row>
    <row r="42" spans="4:48">
      <c r="D42" s="172">
        <v>4315</v>
      </c>
      <c r="E42" s="172"/>
      <c r="F42" s="74"/>
      <c r="G42" s="75" t="s">
        <v>234</v>
      </c>
      <c r="H42" s="75"/>
      <c r="I42" s="75"/>
      <c r="J42" s="75"/>
      <c r="K42" s="75"/>
      <c r="L42" s="75"/>
      <c r="M42" s="75"/>
      <c r="N42" s="75"/>
      <c r="O42" s="79"/>
      <c r="P42" s="243"/>
      <c r="Q42" s="243"/>
      <c r="R42" s="243"/>
      <c r="S42" s="243"/>
      <c r="T42" s="238"/>
      <c r="U42" s="238"/>
      <c r="V42" s="238"/>
      <c r="W42" s="238"/>
      <c r="X42" s="238"/>
      <c r="Y42" s="238"/>
      <c r="Z42" s="238"/>
      <c r="AA42" s="238"/>
      <c r="AB42" s="243"/>
      <c r="AC42" s="243"/>
      <c r="AD42" s="243"/>
      <c r="AE42" s="243"/>
      <c r="AF42" s="243"/>
      <c r="AG42" s="243"/>
      <c r="AH42" s="243"/>
      <c r="AI42" s="243"/>
      <c r="AJ42" s="243"/>
      <c r="AK42" s="243"/>
      <c r="AL42" s="243"/>
      <c r="AM42" s="243"/>
      <c r="AN42" s="243"/>
      <c r="AO42" s="243"/>
      <c r="AP42" s="243"/>
      <c r="AQ42" s="243"/>
      <c r="AR42" s="243"/>
      <c r="AS42" s="243"/>
      <c r="AT42" s="243"/>
      <c r="AU42" s="243"/>
      <c r="AV42" s="243"/>
    </row>
    <row r="43" spans="4:48">
      <c r="D43" s="172">
        <v>4316</v>
      </c>
      <c r="E43" s="172"/>
      <c r="F43" s="74"/>
      <c r="G43" s="75" t="s">
        <v>235</v>
      </c>
      <c r="H43" s="75"/>
      <c r="I43" s="75"/>
      <c r="J43" s="75"/>
      <c r="K43" s="75"/>
      <c r="L43" s="75"/>
      <c r="M43" s="75"/>
      <c r="N43" s="75"/>
      <c r="O43" s="79"/>
      <c r="P43" s="243"/>
      <c r="Q43" s="243"/>
      <c r="R43" s="243"/>
      <c r="S43" s="243"/>
      <c r="T43" s="238"/>
      <c r="U43" s="238"/>
      <c r="V43" s="238"/>
      <c r="W43" s="238"/>
      <c r="X43" s="238"/>
      <c r="Y43" s="238"/>
      <c r="Z43" s="238"/>
      <c r="AA43" s="238"/>
      <c r="AB43" s="243"/>
      <c r="AC43" s="243"/>
      <c r="AD43" s="243"/>
      <c r="AE43" s="243"/>
      <c r="AF43" s="243"/>
      <c r="AG43" s="243"/>
      <c r="AH43" s="243"/>
      <c r="AI43" s="243"/>
      <c r="AJ43" s="243"/>
      <c r="AK43" s="243"/>
      <c r="AL43" s="243"/>
      <c r="AM43" s="243"/>
      <c r="AN43" s="243"/>
      <c r="AO43" s="243"/>
      <c r="AP43" s="243"/>
      <c r="AQ43" s="243"/>
      <c r="AR43" s="243"/>
      <c r="AS43" s="243"/>
      <c r="AT43" s="243"/>
      <c r="AU43" s="243"/>
      <c r="AV43" s="243"/>
    </row>
    <row r="44" spans="4:48">
      <c r="D44" s="172">
        <v>4317</v>
      </c>
      <c r="E44" s="172"/>
      <c r="F44" s="74"/>
      <c r="G44" s="75" t="s">
        <v>236</v>
      </c>
      <c r="H44" s="75"/>
      <c r="I44" s="75"/>
      <c r="J44" s="75"/>
      <c r="K44" s="75"/>
      <c r="L44" s="75"/>
      <c r="M44" s="75"/>
      <c r="N44" s="75"/>
      <c r="O44" s="79"/>
      <c r="P44" s="243"/>
      <c r="Q44" s="243"/>
      <c r="R44" s="243"/>
      <c r="S44" s="243"/>
      <c r="T44" s="238"/>
      <c r="U44" s="238"/>
      <c r="V44" s="238"/>
      <c r="W44" s="238"/>
      <c r="X44" s="238"/>
      <c r="Y44" s="238"/>
      <c r="Z44" s="238"/>
      <c r="AA44" s="238"/>
      <c r="AB44" s="243"/>
      <c r="AC44" s="243"/>
      <c r="AD44" s="243"/>
      <c r="AE44" s="243"/>
      <c r="AF44" s="243"/>
      <c r="AG44" s="243"/>
      <c r="AH44" s="243"/>
      <c r="AI44" s="243"/>
      <c r="AJ44" s="243"/>
      <c r="AK44" s="243"/>
      <c r="AL44" s="243"/>
      <c r="AM44" s="243"/>
      <c r="AN44" s="243"/>
      <c r="AO44" s="243"/>
      <c r="AP44" s="243"/>
      <c r="AQ44" s="243"/>
      <c r="AR44" s="243"/>
      <c r="AS44" s="243"/>
      <c r="AT44" s="243"/>
      <c r="AU44" s="243"/>
      <c r="AV44" s="243"/>
    </row>
    <row r="45" spans="4:48">
      <c r="D45" s="172">
        <v>5318</v>
      </c>
      <c r="E45" s="172"/>
      <c r="F45" s="74"/>
      <c r="G45" s="75" t="s">
        <v>237</v>
      </c>
      <c r="H45" s="75"/>
      <c r="I45" s="75"/>
      <c r="J45" s="75"/>
      <c r="K45" s="75"/>
      <c r="L45" s="75"/>
      <c r="M45" s="75"/>
      <c r="N45" s="75"/>
      <c r="O45" s="79"/>
      <c r="P45" s="243"/>
      <c r="Q45" s="243"/>
      <c r="R45" s="243"/>
      <c r="S45" s="243"/>
      <c r="T45" s="238"/>
      <c r="U45" s="238"/>
      <c r="V45" s="238"/>
      <c r="W45" s="238"/>
      <c r="X45" s="238"/>
      <c r="Y45" s="238"/>
      <c r="Z45" s="238"/>
      <c r="AA45" s="238"/>
      <c r="AB45" s="243"/>
      <c r="AC45" s="243"/>
      <c r="AD45" s="243"/>
      <c r="AE45" s="243"/>
      <c r="AF45" s="243"/>
      <c r="AG45" s="243"/>
      <c r="AH45" s="243"/>
      <c r="AI45" s="243"/>
      <c r="AJ45" s="243"/>
      <c r="AK45" s="243"/>
      <c r="AL45" s="243"/>
      <c r="AM45" s="243"/>
      <c r="AN45" s="243"/>
      <c r="AO45" s="243"/>
      <c r="AP45" s="243"/>
      <c r="AQ45" s="243"/>
      <c r="AR45" s="243"/>
      <c r="AS45" s="243"/>
      <c r="AT45" s="243"/>
      <c r="AU45" s="243"/>
      <c r="AV45" s="243"/>
    </row>
    <row r="46" spans="4:48">
      <c r="D46" s="172">
        <v>5319</v>
      </c>
      <c r="E46" s="172"/>
      <c r="F46" s="74"/>
      <c r="G46" s="75" t="s">
        <v>238</v>
      </c>
      <c r="H46" s="75"/>
      <c r="I46" s="75"/>
      <c r="J46" s="75"/>
      <c r="K46" s="75"/>
      <c r="L46" s="75"/>
      <c r="M46" s="75"/>
      <c r="N46" s="75"/>
      <c r="O46" s="79"/>
      <c r="P46" s="243"/>
      <c r="Q46" s="243"/>
      <c r="R46" s="243"/>
      <c r="S46" s="243"/>
      <c r="T46" s="238"/>
      <c r="U46" s="238"/>
      <c r="V46" s="238"/>
      <c r="W46" s="238"/>
      <c r="X46" s="238"/>
      <c r="Y46" s="238"/>
      <c r="Z46" s="238"/>
      <c r="AA46" s="238"/>
      <c r="AB46" s="243"/>
      <c r="AC46" s="243"/>
      <c r="AD46" s="243"/>
      <c r="AE46" s="243"/>
      <c r="AF46" s="243"/>
      <c r="AG46" s="243"/>
      <c r="AH46" s="243"/>
      <c r="AI46" s="243"/>
      <c r="AJ46" s="243"/>
      <c r="AK46" s="243"/>
      <c r="AL46" s="243"/>
      <c r="AM46" s="243"/>
      <c r="AN46" s="243"/>
      <c r="AO46" s="243"/>
      <c r="AP46" s="243"/>
      <c r="AQ46" s="243"/>
      <c r="AR46" s="243"/>
      <c r="AS46" s="243"/>
      <c r="AT46" s="243"/>
      <c r="AU46" s="243"/>
      <c r="AV46" s="243"/>
    </row>
    <row r="47" spans="4:48">
      <c r="D47" s="172">
        <v>5320</v>
      </c>
      <c r="E47" s="172"/>
      <c r="F47" s="74"/>
      <c r="G47" s="75" t="s">
        <v>239</v>
      </c>
      <c r="H47" s="75"/>
      <c r="I47" s="75"/>
      <c r="J47" s="75"/>
      <c r="K47" s="75"/>
      <c r="L47" s="75"/>
      <c r="M47" s="75"/>
      <c r="N47" s="75"/>
      <c r="O47" s="79"/>
      <c r="P47" s="243"/>
      <c r="Q47" s="243"/>
      <c r="R47" s="243"/>
      <c r="S47" s="243"/>
      <c r="T47" s="238"/>
      <c r="U47" s="238"/>
      <c r="V47" s="238"/>
      <c r="W47" s="238"/>
      <c r="X47" s="238"/>
      <c r="Y47" s="238"/>
      <c r="Z47" s="238"/>
      <c r="AA47" s="238"/>
      <c r="AB47" s="243"/>
      <c r="AC47" s="243"/>
      <c r="AD47" s="243"/>
      <c r="AE47" s="243"/>
      <c r="AF47" s="243"/>
      <c r="AG47" s="243"/>
      <c r="AH47" s="243"/>
      <c r="AI47" s="243"/>
      <c r="AJ47" s="243"/>
      <c r="AK47" s="243"/>
      <c r="AL47" s="243"/>
      <c r="AM47" s="243"/>
      <c r="AN47" s="243"/>
      <c r="AO47" s="243"/>
      <c r="AP47" s="243"/>
      <c r="AQ47" s="243"/>
      <c r="AR47" s="243"/>
      <c r="AS47" s="243"/>
      <c r="AT47" s="243"/>
      <c r="AU47" s="243"/>
      <c r="AV47" s="243"/>
    </row>
    <row r="48" spans="4:48">
      <c r="D48" s="172">
        <v>5321</v>
      </c>
      <c r="E48" s="172"/>
      <c r="F48" s="74"/>
      <c r="G48" s="75" t="s">
        <v>240</v>
      </c>
      <c r="H48" s="75"/>
      <c r="I48" s="75"/>
      <c r="J48" s="75"/>
      <c r="K48" s="75"/>
      <c r="L48" s="75"/>
      <c r="M48" s="75"/>
      <c r="N48" s="75"/>
      <c r="O48" s="79"/>
      <c r="P48" s="243"/>
      <c r="Q48" s="243"/>
      <c r="R48" s="243"/>
      <c r="S48" s="243"/>
      <c r="T48" s="238"/>
      <c r="U48" s="238"/>
      <c r="V48" s="238"/>
      <c r="W48" s="238"/>
      <c r="X48" s="238"/>
      <c r="Y48" s="238"/>
      <c r="Z48" s="238"/>
      <c r="AA48" s="238"/>
      <c r="AB48" s="243"/>
      <c r="AC48" s="243"/>
      <c r="AD48" s="243"/>
      <c r="AE48" s="243"/>
      <c r="AF48" s="243"/>
      <c r="AG48" s="243"/>
      <c r="AH48" s="243"/>
      <c r="AI48" s="243"/>
      <c r="AJ48" s="243"/>
      <c r="AK48" s="243"/>
      <c r="AL48" s="243"/>
      <c r="AM48" s="243"/>
      <c r="AN48" s="243"/>
      <c r="AO48" s="243"/>
      <c r="AP48" s="243"/>
      <c r="AQ48" s="243"/>
      <c r="AR48" s="243"/>
      <c r="AS48" s="243"/>
      <c r="AT48" s="243"/>
      <c r="AU48" s="243"/>
      <c r="AV48" s="243"/>
    </row>
    <row r="49" spans="4:48">
      <c r="D49" s="172">
        <v>5322</v>
      </c>
      <c r="E49" s="172"/>
      <c r="F49" s="74"/>
      <c r="G49" s="75" t="s">
        <v>241</v>
      </c>
      <c r="H49" s="75"/>
      <c r="I49" s="75"/>
      <c r="J49" s="75"/>
      <c r="K49" s="75"/>
      <c r="L49" s="75"/>
      <c r="M49" s="75"/>
      <c r="N49" s="75"/>
      <c r="O49" s="79"/>
      <c r="P49" s="243"/>
      <c r="Q49" s="243"/>
      <c r="R49" s="243"/>
      <c r="S49" s="243"/>
      <c r="T49" s="238"/>
      <c r="U49" s="238"/>
      <c r="V49" s="238"/>
      <c r="W49" s="238"/>
      <c r="X49" s="238"/>
      <c r="Y49" s="238"/>
      <c r="Z49" s="238"/>
      <c r="AA49" s="238"/>
      <c r="AB49" s="243"/>
      <c r="AC49" s="243"/>
      <c r="AD49" s="243"/>
      <c r="AE49" s="243"/>
      <c r="AF49" s="243"/>
      <c r="AG49" s="243"/>
      <c r="AH49" s="243"/>
      <c r="AI49" s="243"/>
      <c r="AJ49" s="243"/>
      <c r="AK49" s="243"/>
      <c r="AL49" s="243"/>
      <c r="AM49" s="243"/>
      <c r="AN49" s="243"/>
      <c r="AO49" s="243"/>
      <c r="AP49" s="243"/>
      <c r="AQ49" s="243"/>
      <c r="AR49" s="243"/>
      <c r="AS49" s="243"/>
      <c r="AT49" s="243"/>
      <c r="AU49" s="243"/>
      <c r="AV49" s="243"/>
    </row>
    <row r="50" spans="4:48">
      <c r="D50" s="172">
        <v>5399</v>
      </c>
      <c r="E50" s="172"/>
      <c r="F50" s="74"/>
      <c r="G50" s="75" t="s">
        <v>242</v>
      </c>
      <c r="H50" s="75"/>
      <c r="I50" s="75"/>
      <c r="J50" s="75"/>
      <c r="K50" s="75"/>
      <c r="L50" s="75"/>
      <c r="M50" s="75"/>
      <c r="N50" s="75"/>
      <c r="O50" s="79"/>
      <c r="P50" s="243"/>
      <c r="Q50" s="243"/>
      <c r="R50" s="243"/>
      <c r="S50" s="243"/>
      <c r="T50" s="238"/>
      <c r="U50" s="238"/>
      <c r="V50" s="238"/>
      <c r="W50" s="238"/>
      <c r="X50" s="238"/>
      <c r="Y50" s="238"/>
      <c r="Z50" s="238"/>
      <c r="AA50" s="238"/>
      <c r="AB50" s="243"/>
      <c r="AC50" s="243"/>
      <c r="AD50" s="243"/>
      <c r="AE50" s="243"/>
      <c r="AF50" s="243"/>
      <c r="AG50" s="243"/>
      <c r="AH50" s="243"/>
      <c r="AI50" s="243"/>
      <c r="AJ50" s="243"/>
      <c r="AK50" s="243"/>
      <c r="AL50" s="243"/>
      <c r="AM50" s="243"/>
      <c r="AN50" s="243"/>
      <c r="AO50" s="243"/>
      <c r="AP50" s="243"/>
      <c r="AQ50" s="243"/>
      <c r="AR50" s="243"/>
      <c r="AS50" s="243"/>
      <c r="AT50" s="243"/>
      <c r="AU50" s="243"/>
      <c r="AV50" s="243"/>
    </row>
    <row r="51" spans="4:48">
      <c r="D51" s="172">
        <v>5400</v>
      </c>
      <c r="E51" s="172"/>
      <c r="F51" s="74"/>
      <c r="G51" s="75" t="s">
        <v>243</v>
      </c>
      <c r="H51" s="75"/>
      <c r="I51" s="75"/>
      <c r="J51" s="75"/>
      <c r="K51" s="75"/>
      <c r="L51" s="75"/>
      <c r="M51" s="75"/>
      <c r="N51" s="75"/>
      <c r="O51" s="79"/>
      <c r="P51" s="243"/>
      <c r="Q51" s="243"/>
      <c r="R51" s="243"/>
      <c r="S51" s="243"/>
      <c r="T51" s="238"/>
      <c r="U51" s="238"/>
      <c r="V51" s="238"/>
      <c r="W51" s="238"/>
      <c r="X51" s="238"/>
      <c r="Y51" s="238"/>
      <c r="Z51" s="238"/>
      <c r="AA51" s="238"/>
      <c r="AB51" s="243"/>
      <c r="AC51" s="243"/>
      <c r="AD51" s="243"/>
      <c r="AE51" s="243"/>
      <c r="AF51" s="238"/>
      <c r="AG51" s="238"/>
      <c r="AH51" s="238"/>
      <c r="AI51" s="238"/>
      <c r="AJ51" s="238"/>
      <c r="AK51" s="238"/>
      <c r="AL51" s="238"/>
      <c r="AM51" s="238"/>
      <c r="AN51" s="238"/>
      <c r="AO51" s="238"/>
      <c r="AP51" s="238"/>
      <c r="AQ51" s="238"/>
      <c r="AR51" s="243"/>
      <c r="AS51" s="243"/>
      <c r="AT51" s="243"/>
      <c r="AU51" s="243"/>
      <c r="AV51" s="243"/>
    </row>
    <row r="52" spans="4:48">
      <c r="D52" s="172">
        <v>4500</v>
      </c>
      <c r="E52" s="172"/>
      <c r="F52" s="74" t="s">
        <v>244</v>
      </c>
      <c r="G52" s="75"/>
      <c r="H52" s="75"/>
      <c r="I52" s="75"/>
      <c r="J52" s="75"/>
      <c r="K52" s="75"/>
      <c r="L52" s="75"/>
      <c r="M52" s="75"/>
      <c r="N52" s="75"/>
      <c r="O52" s="79"/>
      <c r="P52" s="243"/>
      <c r="Q52" s="243"/>
      <c r="R52" s="243"/>
      <c r="S52" s="243"/>
      <c r="T52" s="238"/>
      <c r="U52" s="238"/>
      <c r="V52" s="238"/>
      <c r="W52" s="238"/>
      <c r="X52" s="238"/>
      <c r="Y52" s="238"/>
      <c r="Z52" s="238"/>
      <c r="AA52" s="238"/>
      <c r="AB52" s="243"/>
      <c r="AC52" s="243"/>
      <c r="AD52" s="243"/>
      <c r="AE52" s="243"/>
      <c r="AF52" s="238"/>
      <c r="AG52" s="238"/>
      <c r="AH52" s="238"/>
      <c r="AI52" s="238"/>
      <c r="AJ52" s="238"/>
      <c r="AK52" s="238"/>
      <c r="AL52" s="238"/>
      <c r="AM52" s="238"/>
      <c r="AN52" s="238"/>
      <c r="AO52" s="238"/>
      <c r="AP52" s="238"/>
      <c r="AQ52" s="238"/>
      <c r="AR52" s="243"/>
      <c r="AS52" s="243"/>
      <c r="AT52" s="243"/>
      <c r="AU52" s="243"/>
      <c r="AV52" s="243"/>
    </row>
    <row r="53" spans="4:48">
      <c r="D53" s="237"/>
      <c r="E53" s="237"/>
      <c r="F53" s="76" t="s">
        <v>245</v>
      </c>
      <c r="G53" s="75"/>
      <c r="H53" s="75"/>
      <c r="I53" s="75"/>
      <c r="J53" s="75"/>
      <c r="K53" s="75"/>
      <c r="L53" s="75"/>
      <c r="M53" s="75"/>
      <c r="N53" s="75"/>
      <c r="O53" s="79"/>
      <c r="P53" s="238"/>
      <c r="Q53" s="238"/>
      <c r="R53" s="238"/>
      <c r="S53" s="238"/>
      <c r="T53" s="238"/>
      <c r="U53" s="238"/>
      <c r="V53" s="238"/>
      <c r="W53" s="238"/>
      <c r="X53" s="238"/>
      <c r="Y53" s="238"/>
      <c r="Z53" s="238"/>
      <c r="AA53" s="238"/>
      <c r="AB53" s="238"/>
      <c r="AC53" s="238"/>
      <c r="AD53" s="238"/>
      <c r="AE53" s="238"/>
      <c r="AF53" s="238"/>
      <c r="AG53" s="238"/>
      <c r="AH53" s="238"/>
      <c r="AI53" s="238"/>
      <c r="AJ53" s="238"/>
      <c r="AK53" s="238"/>
      <c r="AL53" s="238"/>
      <c r="AM53" s="238"/>
      <c r="AN53" s="238"/>
      <c r="AO53" s="238"/>
      <c r="AP53" s="238"/>
      <c r="AQ53" s="238"/>
      <c r="AR53" s="238"/>
      <c r="AS53" s="238"/>
      <c r="AT53" s="238"/>
      <c r="AU53" s="238"/>
      <c r="AV53" s="238"/>
    </row>
    <row r="54" spans="4:48">
      <c r="D54" s="172">
        <v>4501</v>
      </c>
      <c r="E54" s="172"/>
      <c r="F54" s="74" t="s">
        <v>246</v>
      </c>
      <c r="G54" s="75"/>
      <c r="H54" s="75"/>
      <c r="I54" s="75"/>
      <c r="J54" s="75"/>
      <c r="K54" s="75"/>
      <c r="L54" s="75"/>
      <c r="M54" s="75"/>
      <c r="N54" s="75"/>
      <c r="O54" s="79"/>
      <c r="P54" s="243"/>
      <c r="Q54" s="243"/>
      <c r="R54" s="243"/>
      <c r="S54" s="243"/>
      <c r="T54" s="244"/>
      <c r="U54" s="244"/>
      <c r="V54" s="244"/>
      <c r="W54" s="244"/>
      <c r="X54" s="244"/>
      <c r="Y54" s="244"/>
      <c r="Z54" s="244"/>
      <c r="AA54" s="244"/>
      <c r="AB54" s="244"/>
      <c r="AC54" s="244"/>
      <c r="AD54" s="244"/>
      <c r="AE54" s="244"/>
      <c r="AF54" s="244"/>
      <c r="AG54" s="244"/>
      <c r="AH54" s="244"/>
      <c r="AI54" s="244"/>
      <c r="AJ54" s="244"/>
      <c r="AK54" s="244"/>
      <c r="AL54" s="244"/>
      <c r="AM54" s="244"/>
      <c r="AN54" s="244"/>
      <c r="AO54" s="244"/>
      <c r="AP54" s="244"/>
      <c r="AQ54" s="244"/>
      <c r="AR54" s="243"/>
      <c r="AS54" s="243"/>
      <c r="AT54" s="243"/>
      <c r="AU54" s="243"/>
      <c r="AV54" s="243"/>
    </row>
    <row r="55" spans="4:48">
      <c r="D55" s="172">
        <v>4503</v>
      </c>
      <c r="E55" s="172"/>
      <c r="F55" s="74" t="s">
        <v>247</v>
      </c>
      <c r="G55" s="75"/>
      <c r="H55" s="75"/>
      <c r="I55" s="75"/>
      <c r="J55" s="75"/>
      <c r="K55" s="75"/>
      <c r="L55" s="75"/>
      <c r="M55" s="75"/>
      <c r="N55" s="75"/>
      <c r="O55" s="79"/>
      <c r="P55" s="243"/>
      <c r="Q55" s="243"/>
      <c r="R55" s="243"/>
      <c r="S55" s="243"/>
      <c r="T55" s="244"/>
      <c r="U55" s="244"/>
      <c r="V55" s="244"/>
      <c r="W55" s="244"/>
      <c r="X55" s="244"/>
      <c r="Y55" s="244"/>
      <c r="Z55" s="244"/>
      <c r="AA55" s="244"/>
      <c r="AB55" s="244"/>
      <c r="AC55" s="244"/>
      <c r="AD55" s="244"/>
      <c r="AE55" s="244"/>
      <c r="AF55" s="244"/>
      <c r="AG55" s="244"/>
      <c r="AH55" s="244"/>
      <c r="AI55" s="244"/>
      <c r="AJ55" s="244"/>
      <c r="AK55" s="244"/>
      <c r="AL55" s="244"/>
      <c r="AM55" s="244"/>
      <c r="AN55" s="244"/>
      <c r="AO55" s="244"/>
      <c r="AP55" s="244"/>
      <c r="AQ55" s="244"/>
      <c r="AR55" s="243"/>
      <c r="AS55" s="243"/>
      <c r="AT55" s="243"/>
      <c r="AU55" s="243"/>
      <c r="AV55" s="243"/>
    </row>
    <row r="56" spans="4:48">
      <c r="D56" s="172">
        <v>4511</v>
      </c>
      <c r="E56" s="172"/>
      <c r="F56" s="74" t="s">
        <v>248</v>
      </c>
      <c r="G56" s="75"/>
      <c r="H56" s="75"/>
      <c r="I56" s="75"/>
      <c r="J56" s="75"/>
      <c r="K56" s="75"/>
      <c r="L56" s="75"/>
      <c r="M56" s="75"/>
      <c r="N56" s="75"/>
      <c r="O56" s="79"/>
      <c r="P56" s="243"/>
      <c r="Q56" s="243"/>
      <c r="R56" s="243"/>
      <c r="S56" s="243"/>
      <c r="T56" s="244"/>
      <c r="U56" s="244"/>
      <c r="V56" s="244"/>
      <c r="W56" s="244"/>
      <c r="X56" s="244"/>
      <c r="Y56" s="244"/>
      <c r="Z56" s="244"/>
      <c r="AA56" s="244"/>
      <c r="AB56" s="244"/>
      <c r="AC56" s="244"/>
      <c r="AD56" s="244"/>
      <c r="AE56" s="244"/>
      <c r="AF56" s="244"/>
      <c r="AG56" s="244"/>
      <c r="AH56" s="244"/>
      <c r="AI56" s="244"/>
      <c r="AJ56" s="244"/>
      <c r="AK56" s="244"/>
      <c r="AL56" s="244"/>
      <c r="AM56" s="244"/>
      <c r="AN56" s="244"/>
      <c r="AO56" s="244"/>
      <c r="AP56" s="244"/>
      <c r="AQ56" s="244"/>
      <c r="AR56" s="243"/>
      <c r="AS56" s="243"/>
      <c r="AT56" s="243"/>
      <c r="AU56" s="243"/>
      <c r="AV56" s="243"/>
    </row>
    <row r="57" spans="4:48">
      <c r="D57" s="172">
        <v>4599</v>
      </c>
      <c r="E57" s="172"/>
      <c r="F57" s="74" t="s">
        <v>249</v>
      </c>
      <c r="G57" s="75"/>
      <c r="H57" s="75"/>
      <c r="I57" s="75"/>
      <c r="J57" s="75"/>
      <c r="K57" s="75"/>
      <c r="L57" s="75"/>
      <c r="M57" s="75"/>
      <c r="N57" s="75"/>
      <c r="O57" s="79"/>
      <c r="P57" s="243"/>
      <c r="Q57" s="243"/>
      <c r="R57" s="243"/>
      <c r="S57" s="243"/>
      <c r="T57" s="244"/>
      <c r="U57" s="244"/>
      <c r="V57" s="244"/>
      <c r="W57" s="244"/>
      <c r="X57" s="244"/>
      <c r="Y57" s="244"/>
      <c r="Z57" s="244"/>
      <c r="AA57" s="244"/>
      <c r="AB57" s="244"/>
      <c r="AC57" s="244"/>
      <c r="AD57" s="244"/>
      <c r="AE57" s="244"/>
      <c r="AF57" s="244"/>
      <c r="AG57" s="244"/>
      <c r="AH57" s="244"/>
      <c r="AI57" s="244"/>
      <c r="AJ57" s="244"/>
      <c r="AK57" s="244"/>
      <c r="AL57" s="244"/>
      <c r="AM57" s="244"/>
      <c r="AN57" s="244"/>
      <c r="AO57" s="244"/>
      <c r="AP57" s="244"/>
      <c r="AQ57" s="244"/>
      <c r="AR57" s="243"/>
      <c r="AS57" s="243"/>
      <c r="AT57" s="243"/>
      <c r="AU57" s="243"/>
      <c r="AV57" s="243"/>
    </row>
    <row r="58" spans="4:48">
      <c r="D58" s="172">
        <v>4600</v>
      </c>
      <c r="E58" s="172"/>
      <c r="F58" s="74" t="s">
        <v>250</v>
      </c>
      <c r="G58" s="75"/>
      <c r="H58" s="75"/>
      <c r="I58" s="75"/>
      <c r="J58" s="75"/>
      <c r="K58" s="75"/>
      <c r="L58" s="75"/>
      <c r="M58" s="75"/>
      <c r="N58" s="75"/>
      <c r="O58" s="79"/>
      <c r="P58" s="243"/>
      <c r="Q58" s="243"/>
      <c r="R58" s="243"/>
      <c r="S58" s="243"/>
      <c r="T58" s="238"/>
      <c r="U58" s="238"/>
      <c r="V58" s="238"/>
      <c r="W58" s="238"/>
      <c r="X58" s="238"/>
      <c r="Y58" s="238"/>
      <c r="Z58" s="238"/>
      <c r="AA58" s="238"/>
      <c r="AB58" s="244"/>
      <c r="AC58" s="244"/>
      <c r="AD58" s="244"/>
      <c r="AE58" s="244"/>
      <c r="AF58" s="238"/>
      <c r="AG58" s="238"/>
      <c r="AH58" s="238"/>
      <c r="AI58" s="238"/>
      <c r="AJ58" s="238"/>
      <c r="AK58" s="238"/>
      <c r="AL58" s="238"/>
      <c r="AM58" s="238"/>
      <c r="AN58" s="238"/>
      <c r="AO58" s="238"/>
      <c r="AP58" s="238"/>
      <c r="AQ58" s="238"/>
      <c r="AR58" s="243"/>
      <c r="AS58" s="243"/>
      <c r="AT58" s="243"/>
      <c r="AU58" s="243"/>
      <c r="AV58" s="243"/>
    </row>
    <row r="59" spans="4:48">
      <c r="D59" s="237"/>
      <c r="E59" s="237"/>
      <c r="F59" s="76" t="s">
        <v>251</v>
      </c>
      <c r="G59" s="75"/>
      <c r="H59" s="75"/>
      <c r="I59" s="75"/>
      <c r="J59" s="75"/>
      <c r="K59" s="75"/>
      <c r="L59" s="75"/>
      <c r="M59" s="75"/>
      <c r="N59" s="75"/>
      <c r="O59" s="79"/>
      <c r="P59" s="238"/>
      <c r="Q59" s="238"/>
      <c r="R59" s="238"/>
      <c r="S59" s="238"/>
      <c r="T59" s="238"/>
      <c r="U59" s="238"/>
      <c r="V59" s="238"/>
      <c r="W59" s="238"/>
      <c r="X59" s="238"/>
      <c r="Y59" s="238"/>
      <c r="Z59" s="238"/>
      <c r="AA59" s="238"/>
      <c r="AB59" s="238"/>
      <c r="AC59" s="238"/>
      <c r="AD59" s="238"/>
      <c r="AE59" s="238"/>
      <c r="AF59" s="238"/>
      <c r="AG59" s="238"/>
      <c r="AH59" s="238"/>
      <c r="AI59" s="238"/>
      <c r="AJ59" s="238"/>
      <c r="AK59" s="238"/>
      <c r="AL59" s="238"/>
      <c r="AM59" s="238"/>
      <c r="AN59" s="238"/>
      <c r="AO59" s="238"/>
      <c r="AP59" s="238"/>
      <c r="AQ59" s="238"/>
      <c r="AR59" s="238"/>
      <c r="AS59" s="238"/>
      <c r="AT59" s="238"/>
      <c r="AU59" s="238"/>
      <c r="AV59" s="238"/>
    </row>
    <row r="60" spans="4:48">
      <c r="D60" s="172">
        <v>5405</v>
      </c>
      <c r="E60" s="172"/>
      <c r="F60" s="74"/>
      <c r="G60" s="75" t="s">
        <v>252</v>
      </c>
      <c r="H60" s="75"/>
      <c r="I60" s="75"/>
      <c r="J60" s="75"/>
      <c r="K60" s="75"/>
      <c r="L60" s="75"/>
      <c r="M60" s="75"/>
      <c r="N60" s="75"/>
      <c r="O60" s="79"/>
      <c r="P60" s="243"/>
      <c r="Q60" s="243"/>
      <c r="R60" s="243"/>
      <c r="S60" s="243"/>
      <c r="T60" s="238"/>
      <c r="U60" s="238"/>
      <c r="V60" s="238"/>
      <c r="W60" s="238"/>
      <c r="X60" s="238"/>
      <c r="Y60" s="238"/>
      <c r="Z60" s="238"/>
      <c r="AA60" s="238"/>
      <c r="AB60" s="244"/>
      <c r="AC60" s="244"/>
      <c r="AD60" s="244"/>
      <c r="AE60" s="244"/>
      <c r="AF60" s="244"/>
      <c r="AG60" s="244"/>
      <c r="AH60" s="244"/>
      <c r="AI60" s="244"/>
      <c r="AJ60" s="244"/>
      <c r="AK60" s="244"/>
      <c r="AL60" s="244"/>
      <c r="AM60" s="244"/>
      <c r="AN60" s="244"/>
      <c r="AO60" s="244"/>
      <c r="AP60" s="244"/>
      <c r="AQ60" s="244"/>
      <c r="AR60" s="243"/>
      <c r="AS60" s="243"/>
      <c r="AT60" s="243"/>
      <c r="AU60" s="243"/>
      <c r="AV60" s="243"/>
    </row>
    <row r="61" spans="4:48">
      <c r="D61" s="172">
        <v>5409</v>
      </c>
      <c r="E61" s="172"/>
      <c r="F61" s="74"/>
      <c r="G61" s="75" t="s">
        <v>253</v>
      </c>
      <c r="H61" s="75"/>
      <c r="I61" s="75"/>
      <c r="J61" s="75"/>
      <c r="K61" s="75"/>
      <c r="L61" s="75"/>
      <c r="M61" s="75"/>
      <c r="N61" s="75"/>
      <c r="O61" s="79"/>
      <c r="P61" s="243"/>
      <c r="Q61" s="243"/>
      <c r="R61" s="243"/>
      <c r="S61" s="243"/>
      <c r="T61" s="238"/>
      <c r="U61" s="238"/>
      <c r="V61" s="238"/>
      <c r="W61" s="238"/>
      <c r="X61" s="238"/>
      <c r="Y61" s="238"/>
      <c r="Z61" s="238"/>
      <c r="AA61" s="238"/>
      <c r="AB61" s="244"/>
      <c r="AC61" s="244"/>
      <c r="AD61" s="244"/>
      <c r="AE61" s="244"/>
      <c r="AF61" s="244"/>
      <c r="AG61" s="244"/>
      <c r="AH61" s="244"/>
      <c r="AI61" s="244"/>
      <c r="AJ61" s="244"/>
      <c r="AK61" s="244"/>
      <c r="AL61" s="244"/>
      <c r="AM61" s="244"/>
      <c r="AN61" s="244"/>
      <c r="AO61" s="244"/>
      <c r="AP61" s="244"/>
      <c r="AQ61" s="244"/>
      <c r="AR61" s="243"/>
      <c r="AS61" s="243"/>
      <c r="AT61" s="243"/>
      <c r="AU61" s="243"/>
      <c r="AV61" s="243"/>
    </row>
    <row r="62" spans="4:48">
      <c r="D62" s="172">
        <v>5421</v>
      </c>
      <c r="E62" s="172"/>
      <c r="F62" s="74"/>
      <c r="G62" s="75" t="s">
        <v>254</v>
      </c>
      <c r="H62" s="75"/>
      <c r="I62" s="75"/>
      <c r="J62" s="75"/>
      <c r="K62" s="75"/>
      <c r="L62" s="75"/>
      <c r="M62" s="75"/>
      <c r="N62" s="75"/>
      <c r="O62" s="79"/>
      <c r="P62" s="243"/>
      <c r="Q62" s="243"/>
      <c r="R62" s="243"/>
      <c r="S62" s="243"/>
      <c r="T62" s="238"/>
      <c r="U62" s="238"/>
      <c r="V62" s="238"/>
      <c r="W62" s="238"/>
      <c r="X62" s="238"/>
      <c r="Y62" s="238"/>
      <c r="Z62" s="238"/>
      <c r="AA62" s="238"/>
      <c r="AB62" s="244"/>
      <c r="AC62" s="244"/>
      <c r="AD62" s="244"/>
      <c r="AE62" s="244"/>
      <c r="AF62" s="244"/>
      <c r="AG62" s="244"/>
      <c r="AH62" s="244"/>
      <c r="AI62" s="244"/>
      <c r="AJ62" s="244"/>
      <c r="AK62" s="244"/>
      <c r="AL62" s="244"/>
      <c r="AM62" s="244"/>
      <c r="AN62" s="244"/>
      <c r="AO62" s="244"/>
      <c r="AP62" s="244"/>
      <c r="AQ62" s="244"/>
      <c r="AR62" s="243"/>
      <c r="AS62" s="243"/>
      <c r="AT62" s="243"/>
      <c r="AU62" s="243"/>
      <c r="AV62" s="243"/>
    </row>
    <row r="63" spans="4:48">
      <c r="D63" s="172">
        <v>5499</v>
      </c>
      <c r="E63" s="172"/>
      <c r="F63" s="74"/>
      <c r="G63" s="75" t="s">
        <v>255</v>
      </c>
      <c r="H63" s="75"/>
      <c r="I63" s="75"/>
      <c r="J63" s="75"/>
      <c r="K63" s="75"/>
      <c r="L63" s="75"/>
      <c r="M63" s="75"/>
      <c r="N63" s="75"/>
      <c r="O63" s="79"/>
      <c r="P63" s="243"/>
      <c r="Q63" s="243"/>
      <c r="R63" s="243"/>
      <c r="S63" s="243"/>
      <c r="T63" s="238"/>
      <c r="U63" s="238"/>
      <c r="V63" s="238"/>
      <c r="W63" s="238"/>
      <c r="X63" s="238"/>
      <c r="Y63" s="238"/>
      <c r="Z63" s="238"/>
      <c r="AA63" s="238"/>
      <c r="AB63" s="244"/>
      <c r="AC63" s="244"/>
      <c r="AD63" s="244"/>
      <c r="AE63" s="244"/>
      <c r="AF63" s="244"/>
      <c r="AG63" s="244"/>
      <c r="AH63" s="244"/>
      <c r="AI63" s="244"/>
      <c r="AJ63" s="244"/>
      <c r="AK63" s="244"/>
      <c r="AL63" s="244"/>
      <c r="AM63" s="244"/>
      <c r="AN63" s="244"/>
      <c r="AO63" s="244"/>
      <c r="AP63" s="244"/>
      <c r="AQ63" s="244"/>
      <c r="AR63" s="243"/>
      <c r="AS63" s="243"/>
      <c r="AT63" s="243"/>
      <c r="AU63" s="243"/>
      <c r="AV63" s="243"/>
    </row>
    <row r="64" spans="4:48">
      <c r="D64" s="172">
        <v>5500</v>
      </c>
      <c r="E64" s="172"/>
      <c r="F64" s="74"/>
      <c r="G64" s="75" t="s">
        <v>256</v>
      </c>
      <c r="H64" s="75"/>
      <c r="I64" s="75"/>
      <c r="J64" s="75"/>
      <c r="K64" s="75"/>
      <c r="L64" s="75"/>
      <c r="M64" s="75"/>
      <c r="N64" s="75"/>
      <c r="O64" s="79"/>
      <c r="P64" s="243"/>
      <c r="Q64" s="243"/>
      <c r="R64" s="243"/>
      <c r="S64" s="243"/>
      <c r="T64" s="238"/>
      <c r="U64" s="238"/>
      <c r="V64" s="238"/>
      <c r="W64" s="238"/>
      <c r="X64" s="238"/>
      <c r="Y64" s="238"/>
      <c r="Z64" s="238"/>
      <c r="AA64" s="238"/>
      <c r="AB64" s="244"/>
      <c r="AC64" s="244"/>
      <c r="AD64" s="244"/>
      <c r="AE64" s="244"/>
      <c r="AF64" s="238"/>
      <c r="AG64" s="238"/>
      <c r="AH64" s="238"/>
      <c r="AI64" s="238"/>
      <c r="AJ64" s="238"/>
      <c r="AK64" s="238"/>
      <c r="AL64" s="238"/>
      <c r="AM64" s="238"/>
      <c r="AN64" s="238"/>
      <c r="AO64" s="238"/>
      <c r="AP64" s="238"/>
      <c r="AQ64" s="238"/>
      <c r="AR64" s="243"/>
      <c r="AS64" s="243"/>
      <c r="AT64" s="243"/>
      <c r="AU64" s="243"/>
      <c r="AV64" s="243"/>
    </row>
    <row r="65" spans="4:48">
      <c r="D65" s="172">
        <v>4700</v>
      </c>
      <c r="E65" s="172"/>
      <c r="F65" s="74" t="s">
        <v>257</v>
      </c>
      <c r="G65" s="75"/>
      <c r="H65" s="75"/>
      <c r="I65" s="75"/>
      <c r="J65" s="75"/>
      <c r="K65" s="75"/>
      <c r="L65" s="75"/>
      <c r="M65" s="75"/>
      <c r="N65" s="75"/>
      <c r="O65" s="79"/>
      <c r="P65" s="243"/>
      <c r="Q65" s="243"/>
      <c r="R65" s="243"/>
      <c r="S65" s="243"/>
      <c r="T65" s="238"/>
      <c r="U65" s="238"/>
      <c r="V65" s="238"/>
      <c r="W65" s="238"/>
      <c r="X65" s="238"/>
      <c r="Y65" s="238"/>
      <c r="Z65" s="238"/>
      <c r="AA65" s="238"/>
      <c r="AB65" s="244"/>
      <c r="AC65" s="244"/>
      <c r="AD65" s="244"/>
      <c r="AE65" s="244"/>
      <c r="AF65" s="238"/>
      <c r="AG65" s="238"/>
      <c r="AH65" s="238"/>
      <c r="AI65" s="238"/>
      <c r="AJ65" s="238"/>
      <c r="AK65" s="238"/>
      <c r="AL65" s="238"/>
      <c r="AM65" s="238"/>
      <c r="AN65" s="238"/>
      <c r="AO65" s="238"/>
      <c r="AP65" s="238"/>
      <c r="AQ65" s="238"/>
      <c r="AR65" s="243"/>
      <c r="AS65" s="243"/>
      <c r="AT65" s="243"/>
      <c r="AU65" s="243"/>
      <c r="AV65" s="243"/>
    </row>
    <row r="66" spans="4:48">
      <c r="D66" s="172">
        <v>4800</v>
      </c>
      <c r="E66" s="172"/>
      <c r="F66" s="74" t="s">
        <v>258</v>
      </c>
      <c r="G66" s="75"/>
      <c r="H66" s="75"/>
      <c r="I66" s="75"/>
      <c r="J66" s="75"/>
      <c r="K66" s="75"/>
      <c r="L66" s="75"/>
      <c r="M66" s="75"/>
      <c r="N66" s="75"/>
      <c r="O66" s="79"/>
      <c r="P66" s="243"/>
      <c r="Q66" s="243"/>
      <c r="R66" s="243"/>
      <c r="S66" s="243"/>
      <c r="T66" s="244"/>
      <c r="U66" s="244"/>
      <c r="V66" s="244"/>
      <c r="W66" s="244"/>
      <c r="X66" s="244"/>
      <c r="Y66" s="244"/>
      <c r="Z66" s="244"/>
      <c r="AA66" s="244"/>
      <c r="AB66" s="244"/>
      <c r="AC66" s="244"/>
      <c r="AD66" s="244"/>
      <c r="AE66" s="244"/>
      <c r="AF66" s="244"/>
      <c r="AG66" s="244"/>
      <c r="AH66" s="244"/>
      <c r="AI66" s="244"/>
      <c r="AJ66" s="244"/>
      <c r="AK66" s="244"/>
      <c r="AL66" s="244"/>
      <c r="AM66" s="244"/>
      <c r="AN66" s="81"/>
      <c r="AO66" s="82"/>
      <c r="AP66" s="48" t="s">
        <v>259</v>
      </c>
      <c r="AQ66" s="83"/>
      <c r="AR66" s="243"/>
      <c r="AS66" s="243"/>
      <c r="AT66" s="243"/>
      <c r="AU66" s="243"/>
      <c r="AV66" s="243"/>
    </row>
    <row r="67" spans="4:48">
      <c r="L67" s="36" t="s">
        <v>260</v>
      </c>
    </row>
    <row r="68" spans="4:48" ht="3" customHeight="1">
      <c r="D68" s="239"/>
      <c r="E68" s="239"/>
      <c r="F68" s="239"/>
      <c r="G68" s="239"/>
      <c r="H68" s="239"/>
      <c r="I68" s="239"/>
      <c r="J68" s="239"/>
      <c r="K68" s="239"/>
      <c r="L68" s="239"/>
      <c r="M68" s="239"/>
      <c r="N68" s="239"/>
      <c r="O68" s="239"/>
      <c r="P68" s="239"/>
      <c r="Q68" s="239"/>
      <c r="R68" s="239"/>
      <c r="S68" s="239"/>
      <c r="T68" s="239"/>
      <c r="U68" s="239"/>
      <c r="V68" s="239"/>
      <c r="W68" s="239"/>
      <c r="X68" s="239"/>
      <c r="Y68" s="239"/>
      <c r="Z68" s="239"/>
      <c r="AA68" s="239"/>
      <c r="AB68" s="239"/>
      <c r="AC68" s="239"/>
      <c r="AD68" s="239"/>
      <c r="AE68" s="239"/>
      <c r="AF68" s="239"/>
      <c r="AG68" s="239"/>
      <c r="AH68" s="239"/>
      <c r="AI68" s="239"/>
      <c r="AJ68" s="239"/>
      <c r="AK68" s="239"/>
      <c r="AL68" s="239"/>
      <c r="AM68" s="239"/>
      <c r="AN68" s="239"/>
      <c r="AO68" s="239"/>
      <c r="AP68" s="239"/>
      <c r="AQ68" s="239"/>
      <c r="AR68" s="239"/>
      <c r="AS68" s="239"/>
      <c r="AT68" s="239"/>
      <c r="AU68" s="239"/>
      <c r="AV68" s="239"/>
    </row>
    <row r="69" spans="4:48">
      <c r="D69" s="7" t="s">
        <v>35</v>
      </c>
      <c r="E69" s="8" t="s">
        <v>261</v>
      </c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  <c r="AE69" s="34"/>
      <c r="AF69" s="34"/>
      <c r="AG69" s="34"/>
      <c r="AH69" s="34"/>
      <c r="AI69" s="34"/>
      <c r="AJ69" s="34"/>
      <c r="AK69" s="34"/>
      <c r="AL69" s="34"/>
      <c r="AM69" s="34"/>
      <c r="AN69" s="34"/>
      <c r="AO69" s="34"/>
      <c r="AP69" s="34"/>
      <c r="AQ69" s="34"/>
      <c r="AR69" s="34"/>
      <c r="AS69" s="34"/>
      <c r="AT69" s="34"/>
      <c r="AU69" s="34"/>
      <c r="AV69" s="34"/>
    </row>
    <row r="70" spans="4:48" ht="3" customHeight="1"/>
    <row r="71" spans="4:48">
      <c r="D71" s="132" t="s">
        <v>191</v>
      </c>
      <c r="E71" s="132"/>
      <c r="F71" s="163" t="s">
        <v>192</v>
      </c>
      <c r="G71" s="151"/>
      <c r="H71" s="151"/>
      <c r="I71" s="151"/>
      <c r="J71" s="151"/>
      <c r="K71" s="151"/>
      <c r="L71" s="151"/>
      <c r="M71" s="151"/>
      <c r="N71" s="151"/>
      <c r="O71" s="151"/>
      <c r="P71" s="151"/>
      <c r="Q71" s="151"/>
      <c r="R71" s="151"/>
      <c r="S71" s="151"/>
      <c r="T71" s="151" t="s">
        <v>262</v>
      </c>
      <c r="U71" s="151"/>
      <c r="V71" s="151"/>
      <c r="W71" s="151"/>
      <c r="X71" s="239"/>
      <c r="Y71" s="239"/>
      <c r="Z71" s="239"/>
      <c r="AA71" s="239"/>
      <c r="AB71" s="132" t="s">
        <v>191</v>
      </c>
      <c r="AC71" s="132"/>
      <c r="AD71" s="163" t="s">
        <v>192</v>
      </c>
      <c r="AE71" s="151"/>
      <c r="AF71" s="151"/>
      <c r="AG71" s="151"/>
      <c r="AH71" s="151"/>
      <c r="AI71" s="151"/>
      <c r="AJ71" s="151"/>
      <c r="AK71" s="151"/>
      <c r="AL71" s="151"/>
      <c r="AM71" s="151"/>
      <c r="AN71" s="151"/>
      <c r="AO71" s="151"/>
      <c r="AP71" s="151"/>
      <c r="AQ71" s="151"/>
      <c r="AR71" s="151" t="s">
        <v>262</v>
      </c>
      <c r="AS71" s="151"/>
      <c r="AT71" s="151"/>
      <c r="AU71" s="151"/>
      <c r="AV71" s="151"/>
    </row>
    <row r="72" spans="4:48">
      <c r="D72" s="132"/>
      <c r="E72" s="132"/>
      <c r="F72" s="163"/>
      <c r="G72" s="151"/>
      <c r="H72" s="151"/>
      <c r="I72" s="151"/>
      <c r="J72" s="151"/>
      <c r="K72" s="151"/>
      <c r="L72" s="151"/>
      <c r="M72" s="151"/>
      <c r="N72" s="151"/>
      <c r="O72" s="151"/>
      <c r="P72" s="151"/>
      <c r="Q72" s="151"/>
      <c r="R72" s="151"/>
      <c r="S72" s="151"/>
      <c r="T72" s="151"/>
      <c r="U72" s="151"/>
      <c r="V72" s="151"/>
      <c r="W72" s="151"/>
      <c r="X72" s="239"/>
      <c r="Y72" s="239"/>
      <c r="Z72" s="239"/>
      <c r="AA72" s="239"/>
      <c r="AB72" s="132"/>
      <c r="AC72" s="132"/>
      <c r="AD72" s="163"/>
      <c r="AE72" s="151"/>
      <c r="AF72" s="151"/>
      <c r="AG72" s="151"/>
      <c r="AH72" s="151"/>
      <c r="AI72" s="151"/>
      <c r="AJ72" s="151"/>
      <c r="AK72" s="151"/>
      <c r="AL72" s="151"/>
      <c r="AM72" s="151"/>
      <c r="AN72" s="151"/>
      <c r="AO72" s="151"/>
      <c r="AP72" s="151"/>
      <c r="AQ72" s="151"/>
      <c r="AR72" s="151"/>
      <c r="AS72" s="151"/>
      <c r="AT72" s="151"/>
      <c r="AU72" s="151"/>
      <c r="AV72" s="151"/>
    </row>
    <row r="73" spans="4:48">
      <c r="D73" s="132"/>
      <c r="E73" s="132"/>
      <c r="F73" s="141"/>
      <c r="G73" s="174"/>
      <c r="H73" s="174"/>
      <c r="I73" s="174"/>
      <c r="J73" s="174"/>
      <c r="K73" s="174"/>
      <c r="L73" s="174"/>
      <c r="M73" s="174"/>
      <c r="N73" s="174"/>
      <c r="O73" s="174"/>
      <c r="P73" s="174"/>
      <c r="Q73" s="174"/>
      <c r="R73" s="174"/>
      <c r="S73" s="174"/>
      <c r="T73" s="174"/>
      <c r="U73" s="174"/>
      <c r="V73" s="174"/>
      <c r="W73" s="174"/>
      <c r="X73" s="239"/>
      <c r="Y73" s="239"/>
      <c r="Z73" s="239"/>
      <c r="AA73" s="239"/>
      <c r="AB73" s="164"/>
      <c r="AC73" s="164"/>
      <c r="AD73" s="141"/>
      <c r="AE73" s="174"/>
      <c r="AF73" s="174"/>
      <c r="AG73" s="174"/>
      <c r="AH73" s="174"/>
      <c r="AI73" s="174"/>
      <c r="AJ73" s="174"/>
      <c r="AK73" s="174"/>
      <c r="AL73" s="174"/>
      <c r="AM73" s="174"/>
      <c r="AN73" s="174"/>
      <c r="AO73" s="174"/>
      <c r="AP73" s="174"/>
      <c r="AQ73" s="174"/>
      <c r="AR73" s="174"/>
      <c r="AS73" s="174"/>
      <c r="AT73" s="174"/>
      <c r="AU73" s="174"/>
      <c r="AV73" s="174"/>
    </row>
    <row r="74" spans="4:48">
      <c r="D74" s="240" t="s">
        <v>201</v>
      </c>
      <c r="E74" s="231"/>
      <c r="F74" s="241" t="s">
        <v>202</v>
      </c>
      <c r="G74" s="231"/>
      <c r="H74" s="231"/>
      <c r="I74" s="231"/>
      <c r="J74" s="231"/>
      <c r="K74" s="231"/>
      <c r="L74" s="231"/>
      <c r="M74" s="231"/>
      <c r="N74" s="231"/>
      <c r="O74" s="231"/>
      <c r="P74" s="231"/>
      <c r="Q74" s="231"/>
      <c r="R74" s="231"/>
      <c r="S74" s="231"/>
      <c r="T74" s="240" t="s">
        <v>203</v>
      </c>
      <c r="U74" s="231"/>
      <c r="V74" s="231"/>
      <c r="W74" s="231"/>
      <c r="X74" s="242"/>
      <c r="Y74" s="242"/>
      <c r="Z74" s="242"/>
      <c r="AA74" s="242"/>
      <c r="AB74" s="240" t="s">
        <v>201</v>
      </c>
      <c r="AC74" s="231"/>
      <c r="AD74" s="240" t="s">
        <v>202</v>
      </c>
      <c r="AE74" s="231"/>
      <c r="AF74" s="231"/>
      <c r="AG74" s="231"/>
      <c r="AH74" s="231"/>
      <c r="AI74" s="231"/>
      <c r="AJ74" s="231"/>
      <c r="AK74" s="231"/>
      <c r="AL74" s="231"/>
      <c r="AM74" s="231"/>
      <c r="AN74" s="231"/>
      <c r="AO74" s="231"/>
      <c r="AP74" s="231"/>
      <c r="AQ74" s="231"/>
      <c r="AR74" s="240" t="s">
        <v>203</v>
      </c>
      <c r="AS74" s="231"/>
      <c r="AT74" s="231"/>
      <c r="AU74" s="231"/>
      <c r="AV74" s="231"/>
    </row>
    <row r="75" spans="4:48">
      <c r="D75" s="237"/>
      <c r="E75" s="237"/>
      <c r="F75" s="77" t="s">
        <v>263</v>
      </c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80"/>
      <c r="T75" s="238"/>
      <c r="U75" s="238"/>
      <c r="V75" s="238"/>
      <c r="W75" s="238"/>
      <c r="X75" s="239"/>
      <c r="Y75" s="239"/>
      <c r="Z75" s="239"/>
      <c r="AA75" s="239"/>
      <c r="AB75" s="237"/>
      <c r="AC75" s="237"/>
      <c r="AD75" s="236" t="s">
        <v>264</v>
      </c>
      <c r="AE75" s="236"/>
      <c r="AF75" s="236"/>
      <c r="AG75" s="236"/>
      <c r="AH75" s="236"/>
      <c r="AI75" s="236"/>
      <c r="AJ75" s="236"/>
      <c r="AK75" s="236"/>
      <c r="AL75" s="236"/>
      <c r="AM75" s="236"/>
      <c r="AN75" s="236"/>
      <c r="AO75" s="236"/>
      <c r="AP75" s="236"/>
      <c r="AQ75" s="236"/>
      <c r="AR75" s="238"/>
      <c r="AS75" s="238"/>
      <c r="AT75" s="238"/>
      <c r="AU75" s="238"/>
      <c r="AV75" s="238"/>
    </row>
    <row r="76" spans="4:48">
      <c r="D76" s="231">
        <v>1101</v>
      </c>
      <c r="E76" s="231"/>
      <c r="F76" s="78" t="s">
        <v>265</v>
      </c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80"/>
      <c r="T76" s="232"/>
      <c r="U76" s="232"/>
      <c r="V76" s="232"/>
      <c r="W76" s="232"/>
      <c r="X76" s="239"/>
      <c r="Y76" s="239"/>
      <c r="Z76" s="239"/>
      <c r="AA76" s="239"/>
      <c r="AB76" s="231">
        <v>2102</v>
      </c>
      <c r="AC76" s="231"/>
      <c r="AD76" s="235" t="s">
        <v>266</v>
      </c>
      <c r="AE76" s="235"/>
      <c r="AF76" s="235"/>
      <c r="AG76" s="235"/>
      <c r="AH76" s="235"/>
      <c r="AI76" s="235"/>
      <c r="AJ76" s="235"/>
      <c r="AK76" s="235"/>
      <c r="AL76" s="235"/>
      <c r="AM76" s="235"/>
      <c r="AN76" s="235"/>
      <c r="AO76" s="235"/>
      <c r="AP76" s="235"/>
      <c r="AQ76" s="235"/>
      <c r="AR76" s="232"/>
      <c r="AS76" s="232"/>
      <c r="AT76" s="232"/>
      <c r="AU76" s="232"/>
      <c r="AV76" s="232"/>
    </row>
    <row r="77" spans="4:48">
      <c r="D77" s="231">
        <v>1200</v>
      </c>
      <c r="E77" s="231"/>
      <c r="F77" s="78" t="s">
        <v>279</v>
      </c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80"/>
      <c r="T77" s="232"/>
      <c r="U77" s="232"/>
      <c r="V77" s="232"/>
      <c r="W77" s="232"/>
      <c r="X77" s="239"/>
      <c r="Y77" s="239"/>
      <c r="Z77" s="239"/>
      <c r="AA77" s="239"/>
      <c r="AB77" s="231">
        <v>2103</v>
      </c>
      <c r="AC77" s="231"/>
      <c r="AD77" s="235" t="s">
        <v>268</v>
      </c>
      <c r="AE77" s="235"/>
      <c r="AF77" s="235"/>
      <c r="AG77" s="235"/>
      <c r="AH77" s="235"/>
      <c r="AI77" s="235"/>
      <c r="AJ77" s="235"/>
      <c r="AK77" s="235"/>
      <c r="AL77" s="235"/>
      <c r="AM77" s="235"/>
      <c r="AN77" s="235"/>
      <c r="AO77" s="235"/>
      <c r="AP77" s="235"/>
      <c r="AQ77" s="235"/>
      <c r="AR77" s="232"/>
      <c r="AS77" s="232"/>
      <c r="AT77" s="232"/>
      <c r="AU77" s="232"/>
      <c r="AV77" s="232"/>
    </row>
    <row r="78" spans="4:48">
      <c r="D78" s="231">
        <v>1122</v>
      </c>
      <c r="E78" s="231"/>
      <c r="F78" s="78" t="s">
        <v>267</v>
      </c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80"/>
      <c r="T78" s="232"/>
      <c r="U78" s="232"/>
      <c r="V78" s="232"/>
      <c r="W78" s="232"/>
      <c r="X78" s="239"/>
      <c r="Y78" s="239"/>
      <c r="Z78" s="239"/>
      <c r="AA78" s="239"/>
      <c r="AB78" s="231">
        <v>2111</v>
      </c>
      <c r="AC78" s="231"/>
      <c r="AD78" s="235" t="s">
        <v>270</v>
      </c>
      <c r="AE78" s="235"/>
      <c r="AF78" s="235"/>
      <c r="AG78" s="235"/>
      <c r="AH78" s="235"/>
      <c r="AI78" s="235"/>
      <c r="AJ78" s="235"/>
      <c r="AK78" s="235"/>
      <c r="AL78" s="235"/>
      <c r="AM78" s="235"/>
      <c r="AN78" s="235"/>
      <c r="AO78" s="235"/>
      <c r="AP78" s="235"/>
      <c r="AQ78" s="235"/>
      <c r="AR78" s="232"/>
      <c r="AS78" s="232"/>
      <c r="AT78" s="232"/>
      <c r="AU78" s="232"/>
      <c r="AV78" s="232"/>
    </row>
    <row r="79" spans="4:48">
      <c r="D79" s="231">
        <v>1123</v>
      </c>
      <c r="E79" s="231"/>
      <c r="F79" s="78" t="s">
        <v>269</v>
      </c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80"/>
      <c r="T79" s="232"/>
      <c r="U79" s="232"/>
      <c r="V79" s="232"/>
      <c r="W79" s="232"/>
      <c r="X79" s="239"/>
      <c r="Y79" s="239"/>
      <c r="Z79" s="239"/>
      <c r="AA79" s="239"/>
      <c r="AB79" s="231">
        <v>2191</v>
      </c>
      <c r="AC79" s="231"/>
      <c r="AD79" s="235" t="s">
        <v>276</v>
      </c>
      <c r="AE79" s="235"/>
      <c r="AF79" s="235"/>
      <c r="AG79" s="235"/>
      <c r="AH79" s="235"/>
      <c r="AI79" s="235"/>
      <c r="AJ79" s="235"/>
      <c r="AK79" s="235"/>
      <c r="AL79" s="235"/>
      <c r="AM79" s="235"/>
      <c r="AN79" s="235"/>
      <c r="AO79" s="235"/>
      <c r="AP79" s="235"/>
      <c r="AQ79" s="235"/>
      <c r="AR79" s="232"/>
      <c r="AS79" s="232"/>
      <c r="AT79" s="232"/>
      <c r="AU79" s="232"/>
      <c r="AV79" s="232"/>
    </row>
    <row r="80" spans="4:48">
      <c r="D80" s="231">
        <v>1124</v>
      </c>
      <c r="E80" s="231"/>
      <c r="F80" s="78" t="s">
        <v>271</v>
      </c>
      <c r="G80" s="78"/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80"/>
      <c r="T80" s="232"/>
      <c r="U80" s="232"/>
      <c r="V80" s="232"/>
      <c r="W80" s="232"/>
      <c r="X80" s="239"/>
      <c r="Y80" s="239"/>
      <c r="Z80" s="239"/>
      <c r="AA80" s="239"/>
      <c r="AB80" s="231">
        <v>2186</v>
      </c>
      <c r="AC80" s="231"/>
      <c r="AD80" s="235" t="s">
        <v>272</v>
      </c>
      <c r="AE80" s="235"/>
      <c r="AF80" s="235"/>
      <c r="AG80" s="235"/>
      <c r="AH80" s="235"/>
      <c r="AI80" s="235"/>
      <c r="AJ80" s="235"/>
      <c r="AK80" s="235"/>
      <c r="AL80" s="235"/>
      <c r="AM80" s="235"/>
      <c r="AN80" s="235"/>
      <c r="AO80" s="235"/>
      <c r="AP80" s="235"/>
      <c r="AQ80" s="235"/>
      <c r="AR80" s="232"/>
      <c r="AS80" s="232"/>
      <c r="AT80" s="232"/>
      <c r="AU80" s="232"/>
      <c r="AV80" s="232"/>
    </row>
    <row r="81" spans="4:48">
      <c r="D81" s="231">
        <v>1125</v>
      </c>
      <c r="E81" s="231"/>
      <c r="F81" s="78" t="s">
        <v>273</v>
      </c>
      <c r="G81" s="78"/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80"/>
      <c r="T81" s="232"/>
      <c r="U81" s="232"/>
      <c r="V81" s="232"/>
      <c r="W81" s="232"/>
      <c r="X81" s="239"/>
      <c r="Y81" s="239"/>
      <c r="Z81" s="239"/>
      <c r="AA81" s="239"/>
      <c r="AB81" s="231">
        <v>2187</v>
      </c>
      <c r="AC81" s="231"/>
      <c r="AD81" s="235" t="s">
        <v>274</v>
      </c>
      <c r="AE81" s="235"/>
      <c r="AF81" s="235"/>
      <c r="AG81" s="235"/>
      <c r="AH81" s="235"/>
      <c r="AI81" s="235"/>
      <c r="AJ81" s="235"/>
      <c r="AK81" s="235"/>
      <c r="AL81" s="235"/>
      <c r="AM81" s="235"/>
      <c r="AN81" s="235"/>
      <c r="AO81" s="235"/>
      <c r="AP81" s="235"/>
      <c r="AQ81" s="235"/>
      <c r="AR81" s="232"/>
      <c r="AS81" s="232"/>
      <c r="AT81" s="232"/>
      <c r="AU81" s="232"/>
      <c r="AV81" s="232"/>
    </row>
    <row r="82" spans="4:48">
      <c r="D82" s="231">
        <v>1181</v>
      </c>
      <c r="E82" s="231"/>
      <c r="F82" s="78" t="s">
        <v>277</v>
      </c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80"/>
      <c r="T82" s="232"/>
      <c r="U82" s="232"/>
      <c r="V82" s="232"/>
      <c r="W82" s="232"/>
      <c r="X82" s="239"/>
      <c r="Y82" s="239"/>
      <c r="Z82" s="239"/>
      <c r="AA82" s="239"/>
      <c r="AB82" s="231">
        <v>2195</v>
      </c>
      <c r="AC82" s="231"/>
      <c r="AD82" s="235" t="s">
        <v>278</v>
      </c>
      <c r="AE82" s="235"/>
      <c r="AF82" s="235"/>
      <c r="AG82" s="235"/>
      <c r="AH82" s="235"/>
      <c r="AI82" s="235"/>
      <c r="AJ82" s="235"/>
      <c r="AK82" s="235"/>
      <c r="AL82" s="235"/>
      <c r="AM82" s="235"/>
      <c r="AN82" s="235"/>
      <c r="AO82" s="235"/>
      <c r="AP82" s="235"/>
      <c r="AQ82" s="235"/>
      <c r="AR82" s="232"/>
      <c r="AS82" s="232"/>
      <c r="AT82" s="232"/>
      <c r="AU82" s="232"/>
      <c r="AV82" s="232"/>
    </row>
    <row r="83" spans="4:48">
      <c r="D83" s="231">
        <v>1131</v>
      </c>
      <c r="E83" s="231"/>
      <c r="F83" s="78"/>
      <c r="G83" s="84" t="s">
        <v>275</v>
      </c>
      <c r="H83" s="78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80"/>
      <c r="T83" s="232">
        <v>-1</v>
      </c>
      <c r="U83" s="232"/>
      <c r="V83" s="232"/>
      <c r="W83" s="232"/>
      <c r="X83" s="239"/>
      <c r="Y83" s="239"/>
      <c r="Z83" s="239"/>
      <c r="AA83" s="239"/>
      <c r="AB83" s="231">
        <v>2201</v>
      </c>
      <c r="AC83" s="231"/>
      <c r="AD83" s="235" t="s">
        <v>280</v>
      </c>
      <c r="AE83" s="235"/>
      <c r="AF83" s="235"/>
      <c r="AG83" s="235"/>
      <c r="AH83" s="235"/>
      <c r="AI83" s="235"/>
      <c r="AJ83" s="235"/>
      <c r="AK83" s="235"/>
      <c r="AL83" s="235"/>
      <c r="AM83" s="235"/>
      <c r="AN83" s="235"/>
      <c r="AO83" s="235"/>
      <c r="AP83" s="235"/>
      <c r="AQ83" s="235"/>
      <c r="AR83" s="232"/>
      <c r="AS83" s="232"/>
      <c r="AT83" s="232"/>
      <c r="AU83" s="232"/>
      <c r="AV83" s="232"/>
    </row>
    <row r="84" spans="4:48">
      <c r="D84" s="231">
        <v>1401</v>
      </c>
      <c r="E84" s="231"/>
      <c r="F84" s="78" t="s">
        <v>281</v>
      </c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80"/>
      <c r="T84" s="232"/>
      <c r="U84" s="232"/>
      <c r="V84" s="232"/>
      <c r="W84" s="232"/>
      <c r="X84" s="239"/>
      <c r="Y84" s="239"/>
      <c r="Z84" s="239"/>
      <c r="AA84" s="239"/>
      <c r="AB84" s="231">
        <v>2202</v>
      </c>
      <c r="AC84" s="231"/>
      <c r="AD84" s="235" t="s">
        <v>282</v>
      </c>
      <c r="AE84" s="235"/>
      <c r="AF84" s="235"/>
      <c r="AG84" s="235"/>
      <c r="AH84" s="235"/>
      <c r="AI84" s="235"/>
      <c r="AJ84" s="235"/>
      <c r="AK84" s="235"/>
      <c r="AL84" s="235"/>
      <c r="AM84" s="235"/>
      <c r="AN84" s="235"/>
      <c r="AO84" s="235"/>
      <c r="AP84" s="235"/>
      <c r="AQ84" s="235"/>
      <c r="AR84" s="232"/>
      <c r="AS84" s="232"/>
      <c r="AT84" s="232"/>
      <c r="AU84" s="232"/>
      <c r="AV84" s="232"/>
    </row>
    <row r="85" spans="4:48">
      <c r="D85" s="231">
        <v>1421</v>
      </c>
      <c r="E85" s="231"/>
      <c r="F85" s="78" t="s">
        <v>283</v>
      </c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80"/>
      <c r="T85" s="232"/>
      <c r="U85" s="232"/>
      <c r="V85" s="232"/>
      <c r="W85" s="232"/>
      <c r="X85" s="239"/>
      <c r="Y85" s="239"/>
      <c r="Z85" s="239"/>
      <c r="AA85" s="239"/>
      <c r="AB85" s="231">
        <v>2203</v>
      </c>
      <c r="AC85" s="231"/>
      <c r="AD85" s="235" t="s">
        <v>284</v>
      </c>
      <c r="AE85" s="235"/>
      <c r="AF85" s="235"/>
      <c r="AG85" s="235"/>
      <c r="AH85" s="235"/>
      <c r="AI85" s="235"/>
      <c r="AJ85" s="235"/>
      <c r="AK85" s="235"/>
      <c r="AL85" s="235"/>
      <c r="AM85" s="235"/>
      <c r="AN85" s="235"/>
      <c r="AO85" s="235"/>
      <c r="AP85" s="235"/>
      <c r="AQ85" s="235"/>
      <c r="AR85" s="232"/>
      <c r="AS85" s="232"/>
      <c r="AT85" s="232"/>
      <c r="AU85" s="232"/>
      <c r="AV85" s="232"/>
    </row>
    <row r="86" spans="4:48">
      <c r="D86" s="231">
        <v>1423</v>
      </c>
      <c r="E86" s="231"/>
      <c r="F86" s="78" t="s">
        <v>285</v>
      </c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80"/>
      <c r="T86" s="232"/>
      <c r="U86" s="232"/>
      <c r="V86" s="232"/>
      <c r="W86" s="232"/>
      <c r="X86" s="239"/>
      <c r="Y86" s="239"/>
      <c r="Z86" s="239"/>
      <c r="AA86" s="239"/>
      <c r="AB86" s="231">
        <v>2203</v>
      </c>
      <c r="AC86" s="231"/>
      <c r="AD86" s="235" t="s">
        <v>286</v>
      </c>
      <c r="AE86" s="235"/>
      <c r="AF86" s="235"/>
      <c r="AG86" s="235"/>
      <c r="AH86" s="235"/>
      <c r="AI86" s="235"/>
      <c r="AJ86" s="235"/>
      <c r="AK86" s="235"/>
      <c r="AL86" s="235"/>
      <c r="AM86" s="235"/>
      <c r="AN86" s="235"/>
      <c r="AO86" s="235"/>
      <c r="AP86" s="235"/>
      <c r="AQ86" s="235"/>
      <c r="AR86" s="232"/>
      <c r="AS86" s="232"/>
      <c r="AT86" s="232"/>
      <c r="AU86" s="232"/>
      <c r="AV86" s="232"/>
    </row>
    <row r="87" spans="4:48">
      <c r="D87" s="231">
        <v>1405</v>
      </c>
      <c r="E87" s="231"/>
      <c r="F87" s="78" t="s">
        <v>287</v>
      </c>
      <c r="G87" s="78"/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80"/>
      <c r="T87" s="232"/>
      <c r="U87" s="232"/>
      <c r="V87" s="232"/>
      <c r="W87" s="232"/>
      <c r="X87" s="239"/>
      <c r="Y87" s="239"/>
      <c r="Z87" s="239"/>
      <c r="AA87" s="239"/>
      <c r="AB87" s="231">
        <v>2228</v>
      </c>
      <c r="AC87" s="231"/>
      <c r="AD87" s="246" t="s">
        <v>288</v>
      </c>
      <c r="AE87" s="246"/>
      <c r="AF87" s="246"/>
      <c r="AG87" s="246"/>
      <c r="AH87" s="246"/>
      <c r="AI87" s="246"/>
      <c r="AJ87" s="246"/>
      <c r="AK87" s="246"/>
      <c r="AL87" s="246"/>
      <c r="AM87" s="246"/>
      <c r="AN87" s="246"/>
      <c r="AO87" s="246"/>
      <c r="AP87" s="246"/>
      <c r="AQ87" s="246"/>
      <c r="AR87" s="232"/>
      <c r="AS87" s="232"/>
      <c r="AT87" s="232"/>
      <c r="AU87" s="232"/>
      <c r="AV87" s="232"/>
    </row>
    <row r="88" spans="4:48">
      <c r="D88" s="231">
        <v>1422</v>
      </c>
      <c r="E88" s="231"/>
      <c r="F88" s="78" t="s">
        <v>289</v>
      </c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80"/>
      <c r="T88" s="232"/>
      <c r="U88" s="232"/>
      <c r="V88" s="232"/>
      <c r="W88" s="232"/>
      <c r="X88" s="239"/>
      <c r="Y88" s="239"/>
      <c r="Z88" s="239"/>
      <c r="AA88" s="239"/>
      <c r="AB88" s="231">
        <v>2229</v>
      </c>
      <c r="AC88" s="231"/>
      <c r="AD88" s="235" t="s">
        <v>329</v>
      </c>
      <c r="AE88" s="235"/>
      <c r="AF88" s="235"/>
      <c r="AG88" s="235"/>
      <c r="AH88" s="235"/>
      <c r="AI88" s="235"/>
      <c r="AJ88" s="235"/>
      <c r="AK88" s="235"/>
      <c r="AL88" s="235"/>
      <c r="AM88" s="235"/>
      <c r="AN88" s="235"/>
      <c r="AO88" s="235"/>
      <c r="AP88" s="235"/>
      <c r="AQ88" s="235"/>
      <c r="AR88" s="232"/>
      <c r="AS88" s="232"/>
      <c r="AT88" s="232"/>
      <c r="AU88" s="232"/>
      <c r="AV88" s="232"/>
    </row>
    <row r="89" spans="4:48">
      <c r="D89" s="231">
        <v>1499</v>
      </c>
      <c r="E89" s="231"/>
      <c r="F89" s="78" t="s">
        <v>291</v>
      </c>
      <c r="G89" s="78"/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80"/>
      <c r="T89" s="232"/>
      <c r="U89" s="232"/>
      <c r="V89" s="232"/>
      <c r="W89" s="232"/>
      <c r="X89" s="239"/>
      <c r="Y89" s="239"/>
      <c r="Z89" s="239"/>
      <c r="AA89" s="239"/>
      <c r="AB89" s="237"/>
      <c r="AC89" s="237"/>
      <c r="AD89" s="235" t="s">
        <v>290</v>
      </c>
      <c r="AE89" s="235"/>
      <c r="AF89" s="235"/>
      <c r="AG89" s="235"/>
      <c r="AH89" s="235"/>
      <c r="AI89" s="235"/>
      <c r="AJ89" s="235"/>
      <c r="AK89" s="235"/>
      <c r="AL89" s="235"/>
      <c r="AM89" s="235"/>
      <c r="AN89" s="235"/>
      <c r="AO89" s="235"/>
      <c r="AP89" s="235"/>
      <c r="AQ89" s="235"/>
      <c r="AR89" s="238"/>
      <c r="AS89" s="238"/>
      <c r="AT89" s="238"/>
      <c r="AU89" s="238"/>
      <c r="AV89" s="238"/>
    </row>
    <row r="90" spans="4:48">
      <c r="D90" s="231">
        <v>1500</v>
      </c>
      <c r="E90" s="231"/>
      <c r="F90" s="78" t="s">
        <v>330</v>
      </c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80"/>
      <c r="T90" s="232">
        <f>SUM(T75:T89)</f>
        <v>-1</v>
      </c>
      <c r="U90" s="232"/>
      <c r="V90" s="232"/>
      <c r="W90" s="232"/>
      <c r="X90" s="44"/>
      <c r="Y90" s="44"/>
      <c r="Z90" s="44"/>
      <c r="AA90" s="44"/>
      <c r="AB90" s="231">
        <v>2301</v>
      </c>
      <c r="AC90" s="231"/>
      <c r="AD90" s="235" t="s">
        <v>331</v>
      </c>
      <c r="AE90" s="235"/>
      <c r="AF90" s="235"/>
      <c r="AG90" s="235"/>
      <c r="AH90" s="235"/>
      <c r="AI90" s="235"/>
      <c r="AJ90" s="235"/>
      <c r="AK90" s="235"/>
      <c r="AL90" s="235"/>
      <c r="AM90" s="235"/>
      <c r="AN90" s="235"/>
      <c r="AO90" s="235"/>
      <c r="AP90" s="235"/>
      <c r="AQ90" s="235"/>
      <c r="AR90" s="232"/>
      <c r="AS90" s="232"/>
      <c r="AT90" s="232"/>
      <c r="AU90" s="232"/>
      <c r="AV90" s="232"/>
    </row>
    <row r="91" spans="4:48">
      <c r="D91" s="237"/>
      <c r="E91" s="237"/>
      <c r="F91" s="77" t="s">
        <v>293</v>
      </c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80"/>
      <c r="T91" s="238"/>
      <c r="U91" s="238"/>
      <c r="V91" s="238"/>
      <c r="W91" s="238"/>
      <c r="X91" s="239"/>
      <c r="Y91" s="239"/>
      <c r="Z91" s="239"/>
      <c r="AA91" s="239"/>
      <c r="AB91" s="231">
        <v>2304</v>
      </c>
      <c r="AC91" s="231"/>
      <c r="AD91" s="235" t="s">
        <v>294</v>
      </c>
      <c r="AE91" s="235"/>
      <c r="AF91" s="235"/>
      <c r="AG91" s="235"/>
      <c r="AH91" s="235"/>
      <c r="AI91" s="235"/>
      <c r="AJ91" s="235"/>
      <c r="AK91" s="235"/>
      <c r="AL91" s="235"/>
      <c r="AM91" s="235"/>
      <c r="AN91" s="235"/>
      <c r="AO91" s="235"/>
      <c r="AP91" s="235"/>
      <c r="AQ91" s="235"/>
      <c r="AR91" s="232"/>
      <c r="AS91" s="232"/>
      <c r="AT91" s="232"/>
      <c r="AU91" s="232"/>
      <c r="AV91" s="232"/>
    </row>
    <row r="92" spans="4:48">
      <c r="D92" s="231">
        <v>1501</v>
      </c>
      <c r="E92" s="231"/>
      <c r="F92" s="78" t="s">
        <v>295</v>
      </c>
      <c r="G92" s="78"/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80"/>
      <c r="T92" s="232"/>
      <c r="U92" s="232"/>
      <c r="V92" s="232"/>
      <c r="W92" s="232"/>
      <c r="AB92" s="231">
        <v>2312</v>
      </c>
      <c r="AC92" s="231"/>
      <c r="AD92" s="235" t="s">
        <v>296</v>
      </c>
      <c r="AE92" s="235"/>
      <c r="AF92" s="235"/>
      <c r="AG92" s="235"/>
      <c r="AH92" s="235"/>
      <c r="AI92" s="235"/>
      <c r="AJ92" s="235"/>
      <c r="AK92" s="235"/>
      <c r="AL92" s="235"/>
      <c r="AM92" s="235"/>
      <c r="AN92" s="235"/>
      <c r="AO92" s="235"/>
      <c r="AP92" s="235"/>
      <c r="AQ92" s="235"/>
      <c r="AR92" s="232"/>
      <c r="AS92" s="232"/>
      <c r="AT92" s="232"/>
      <c r="AU92" s="232"/>
      <c r="AV92" s="232"/>
    </row>
    <row r="93" spans="4:48">
      <c r="D93" s="231">
        <v>1520</v>
      </c>
      <c r="E93" s="231"/>
      <c r="F93" s="78" t="s">
        <v>297</v>
      </c>
      <c r="G93" s="78"/>
      <c r="H93" s="78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80"/>
      <c r="T93" s="232"/>
      <c r="U93" s="232"/>
      <c r="V93" s="232"/>
      <c r="W93" s="232"/>
      <c r="AB93" s="231">
        <v>2322</v>
      </c>
      <c r="AC93" s="231"/>
      <c r="AD93" s="235" t="s">
        <v>298</v>
      </c>
      <c r="AE93" s="235"/>
      <c r="AF93" s="235"/>
      <c r="AG93" s="235"/>
      <c r="AH93" s="235"/>
      <c r="AI93" s="235"/>
      <c r="AJ93" s="235"/>
      <c r="AK93" s="235"/>
      <c r="AL93" s="235"/>
      <c r="AM93" s="235"/>
      <c r="AN93" s="235"/>
      <c r="AO93" s="235"/>
      <c r="AP93" s="235"/>
      <c r="AQ93" s="235"/>
      <c r="AR93" s="232"/>
      <c r="AS93" s="232"/>
      <c r="AT93" s="232"/>
      <c r="AU93" s="232"/>
      <c r="AV93" s="232"/>
    </row>
    <row r="94" spans="4:48">
      <c r="D94" s="231">
        <v>1523</v>
      </c>
      <c r="E94" s="231"/>
      <c r="F94" s="78" t="s">
        <v>299</v>
      </c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80"/>
      <c r="T94" s="232"/>
      <c r="U94" s="232"/>
      <c r="V94" s="232"/>
      <c r="W94" s="232"/>
      <c r="AB94" s="231">
        <v>2322</v>
      </c>
      <c r="AC94" s="231"/>
      <c r="AD94" s="235" t="s">
        <v>300</v>
      </c>
      <c r="AE94" s="235"/>
      <c r="AF94" s="235"/>
      <c r="AG94" s="235"/>
      <c r="AH94" s="235"/>
      <c r="AI94" s="235"/>
      <c r="AJ94" s="235"/>
      <c r="AK94" s="235"/>
      <c r="AL94" s="235"/>
      <c r="AM94" s="235"/>
      <c r="AN94" s="235"/>
      <c r="AO94" s="235"/>
      <c r="AP94" s="235"/>
      <c r="AQ94" s="235"/>
      <c r="AR94" s="232"/>
      <c r="AS94" s="232"/>
      <c r="AT94" s="232"/>
      <c r="AU94" s="232"/>
      <c r="AV94" s="232"/>
    </row>
    <row r="95" spans="4:48">
      <c r="D95" s="231">
        <v>1524</v>
      </c>
      <c r="E95" s="231"/>
      <c r="F95" s="78"/>
      <c r="G95" s="84" t="s">
        <v>301</v>
      </c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80"/>
      <c r="T95" s="232">
        <v>-1</v>
      </c>
      <c r="U95" s="232"/>
      <c r="V95" s="232"/>
      <c r="W95" s="232"/>
      <c r="AB95" s="231">
        <v>2321</v>
      </c>
      <c r="AC95" s="231"/>
      <c r="AD95" s="235" t="s">
        <v>332</v>
      </c>
      <c r="AE95" s="235"/>
      <c r="AF95" s="235"/>
      <c r="AG95" s="235"/>
      <c r="AH95" s="235"/>
      <c r="AI95" s="235"/>
      <c r="AJ95" s="235"/>
      <c r="AK95" s="235"/>
      <c r="AL95" s="235"/>
      <c r="AM95" s="235"/>
      <c r="AN95" s="235"/>
      <c r="AO95" s="235"/>
      <c r="AP95" s="235"/>
      <c r="AQ95" s="235"/>
      <c r="AR95" s="232"/>
      <c r="AS95" s="232"/>
      <c r="AT95" s="232"/>
      <c r="AU95" s="232"/>
      <c r="AV95" s="232"/>
    </row>
    <row r="96" spans="4:48">
      <c r="D96" s="231">
        <v>1529</v>
      </c>
      <c r="E96" s="231"/>
      <c r="F96" s="78" t="s">
        <v>303</v>
      </c>
      <c r="G96" s="78"/>
      <c r="H96" s="78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80"/>
      <c r="T96" s="232"/>
      <c r="U96" s="232"/>
      <c r="V96" s="232"/>
      <c r="W96" s="232"/>
      <c r="AB96" s="231">
        <v>2998</v>
      </c>
      <c r="AC96" s="231"/>
      <c r="AD96" s="235" t="s">
        <v>304</v>
      </c>
      <c r="AE96" s="235"/>
      <c r="AF96" s="235"/>
      <c r="AG96" s="235"/>
      <c r="AH96" s="235"/>
      <c r="AI96" s="235"/>
      <c r="AJ96" s="235"/>
      <c r="AK96" s="235"/>
      <c r="AL96" s="235"/>
      <c r="AM96" s="235"/>
      <c r="AN96" s="235"/>
      <c r="AO96" s="235"/>
      <c r="AP96" s="235"/>
      <c r="AQ96" s="235"/>
      <c r="AR96" s="232"/>
      <c r="AS96" s="232"/>
      <c r="AT96" s="232"/>
      <c r="AU96" s="232"/>
      <c r="AV96" s="232"/>
    </row>
    <row r="97" spans="4:48">
      <c r="D97" s="231">
        <v>1530</v>
      </c>
      <c r="E97" s="231"/>
      <c r="F97" s="78"/>
      <c r="G97" s="84" t="s">
        <v>305</v>
      </c>
      <c r="H97" s="78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80"/>
      <c r="T97" s="232">
        <v>-1</v>
      </c>
      <c r="U97" s="232"/>
      <c r="V97" s="232"/>
      <c r="W97" s="232"/>
      <c r="AB97" s="231">
        <v>2999</v>
      </c>
      <c r="AC97" s="231"/>
      <c r="AD97" s="235" t="s">
        <v>306</v>
      </c>
      <c r="AE97" s="235"/>
      <c r="AF97" s="235"/>
      <c r="AG97" s="235"/>
      <c r="AH97" s="235"/>
      <c r="AI97" s="235"/>
      <c r="AJ97" s="235"/>
      <c r="AK97" s="235"/>
      <c r="AL97" s="235"/>
      <c r="AM97" s="235"/>
      <c r="AN97" s="235"/>
      <c r="AO97" s="235"/>
      <c r="AP97" s="235"/>
      <c r="AQ97" s="235"/>
      <c r="AR97" s="232">
        <f>SUM(AR75:AV96)</f>
        <v>0</v>
      </c>
      <c r="AS97" s="232"/>
      <c r="AT97" s="232"/>
      <c r="AU97" s="232"/>
      <c r="AV97" s="232"/>
    </row>
    <row r="98" spans="4:48">
      <c r="D98" s="231">
        <v>1533</v>
      </c>
      <c r="E98" s="231"/>
      <c r="F98" s="78" t="s">
        <v>309</v>
      </c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80"/>
      <c r="T98" s="232"/>
      <c r="U98" s="232"/>
      <c r="V98" s="232"/>
      <c r="W98" s="232"/>
      <c r="AB98" s="237"/>
      <c r="AC98" s="237"/>
      <c r="AD98" s="236" t="s">
        <v>308</v>
      </c>
      <c r="AE98" s="236"/>
      <c r="AF98" s="236"/>
      <c r="AG98" s="236"/>
      <c r="AH98" s="236"/>
      <c r="AI98" s="236"/>
      <c r="AJ98" s="236"/>
      <c r="AK98" s="236"/>
      <c r="AL98" s="236"/>
      <c r="AM98" s="236"/>
      <c r="AN98" s="236"/>
      <c r="AO98" s="236"/>
      <c r="AP98" s="236"/>
      <c r="AQ98" s="236"/>
      <c r="AR98" s="238"/>
      <c r="AS98" s="238"/>
      <c r="AT98" s="238"/>
      <c r="AU98" s="238"/>
      <c r="AV98" s="238"/>
    </row>
    <row r="99" spans="4:48">
      <c r="D99" s="231">
        <v>1534</v>
      </c>
      <c r="E99" s="231"/>
      <c r="F99" s="78"/>
      <c r="G99" s="84" t="s">
        <v>311</v>
      </c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80"/>
      <c r="T99" s="232">
        <v>-1</v>
      </c>
      <c r="U99" s="232"/>
      <c r="V99" s="232"/>
      <c r="W99" s="232"/>
      <c r="AB99" s="231">
        <v>3102</v>
      </c>
      <c r="AC99" s="231"/>
      <c r="AD99" s="235" t="s">
        <v>310</v>
      </c>
      <c r="AE99" s="235"/>
      <c r="AF99" s="235"/>
      <c r="AG99" s="235"/>
      <c r="AH99" s="235"/>
      <c r="AI99" s="235"/>
      <c r="AJ99" s="235"/>
      <c r="AK99" s="235"/>
      <c r="AL99" s="235"/>
      <c r="AM99" s="235"/>
      <c r="AN99" s="235"/>
      <c r="AO99" s="235"/>
      <c r="AP99" s="235"/>
      <c r="AQ99" s="235"/>
      <c r="AR99" s="232"/>
      <c r="AS99" s="232"/>
      <c r="AT99" s="232"/>
      <c r="AU99" s="232"/>
      <c r="AV99" s="232"/>
    </row>
    <row r="100" spans="4:48">
      <c r="D100" s="231">
        <v>1551</v>
      </c>
      <c r="E100" s="231"/>
      <c r="F100" s="78" t="s">
        <v>313</v>
      </c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80"/>
      <c r="T100" s="232"/>
      <c r="U100" s="232"/>
      <c r="V100" s="232"/>
      <c r="W100" s="232"/>
      <c r="AB100" s="231">
        <v>3120</v>
      </c>
      <c r="AC100" s="231"/>
      <c r="AD100" s="235" t="s">
        <v>312</v>
      </c>
      <c r="AE100" s="235"/>
      <c r="AF100" s="235"/>
      <c r="AG100" s="235"/>
      <c r="AH100" s="235"/>
      <c r="AI100" s="235"/>
      <c r="AJ100" s="235"/>
      <c r="AK100" s="235"/>
      <c r="AL100" s="235"/>
      <c r="AM100" s="235"/>
      <c r="AN100" s="235"/>
      <c r="AO100" s="235"/>
      <c r="AP100" s="235"/>
      <c r="AQ100" s="235"/>
      <c r="AR100" s="232"/>
      <c r="AS100" s="232"/>
      <c r="AT100" s="232"/>
      <c r="AU100" s="232"/>
      <c r="AV100" s="232"/>
    </row>
    <row r="101" spans="4:48">
      <c r="D101" s="231">
        <v>1599</v>
      </c>
      <c r="E101" s="231"/>
      <c r="F101" s="78" t="s">
        <v>315</v>
      </c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80"/>
      <c r="T101" s="232"/>
      <c r="U101" s="232"/>
      <c r="V101" s="232"/>
      <c r="W101" s="232"/>
      <c r="AB101" s="231">
        <v>3200</v>
      </c>
      <c r="AC101" s="231"/>
      <c r="AD101" s="235" t="s">
        <v>314</v>
      </c>
      <c r="AE101" s="235"/>
      <c r="AF101" s="235"/>
      <c r="AG101" s="235"/>
      <c r="AH101" s="235"/>
      <c r="AI101" s="235"/>
      <c r="AJ101" s="235"/>
      <c r="AK101" s="235"/>
      <c r="AL101" s="235"/>
      <c r="AM101" s="235"/>
      <c r="AN101" s="235"/>
      <c r="AO101" s="235"/>
      <c r="AP101" s="235"/>
      <c r="AQ101" s="235"/>
      <c r="AR101" s="232"/>
      <c r="AS101" s="232"/>
      <c r="AT101" s="232"/>
      <c r="AU101" s="232"/>
      <c r="AV101" s="232"/>
    </row>
    <row r="102" spans="4:48">
      <c r="D102" s="231">
        <v>1600</v>
      </c>
      <c r="E102" s="231"/>
      <c r="F102" s="78" t="s">
        <v>317</v>
      </c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80"/>
      <c r="T102" s="232"/>
      <c r="U102" s="232"/>
      <c r="V102" s="232"/>
      <c r="W102" s="232"/>
      <c r="AB102" s="231">
        <v>3297</v>
      </c>
      <c r="AC102" s="231"/>
      <c r="AD102" s="235" t="s">
        <v>316</v>
      </c>
      <c r="AE102" s="235"/>
      <c r="AF102" s="235"/>
      <c r="AG102" s="235"/>
      <c r="AH102" s="235"/>
      <c r="AI102" s="235"/>
      <c r="AJ102" s="235"/>
      <c r="AK102" s="235"/>
      <c r="AL102" s="235"/>
      <c r="AM102" s="235"/>
      <c r="AN102" s="235"/>
      <c r="AO102" s="235"/>
      <c r="AP102" s="235"/>
      <c r="AQ102" s="235"/>
      <c r="AR102" s="232"/>
      <c r="AS102" s="232"/>
      <c r="AT102" s="232"/>
      <c r="AU102" s="232"/>
      <c r="AV102" s="232"/>
    </row>
    <row r="103" spans="4:48">
      <c r="D103" s="231">
        <v>1601</v>
      </c>
      <c r="E103" s="231"/>
      <c r="F103" s="78"/>
      <c r="G103" s="84" t="s">
        <v>319</v>
      </c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80"/>
      <c r="T103" s="232">
        <v>-1</v>
      </c>
      <c r="U103" s="232"/>
      <c r="V103" s="232"/>
      <c r="W103" s="232"/>
      <c r="AB103" s="231">
        <v>3298</v>
      </c>
      <c r="AC103" s="231"/>
      <c r="AD103" s="235" t="s">
        <v>318</v>
      </c>
      <c r="AE103" s="235"/>
      <c r="AF103" s="235"/>
      <c r="AG103" s="235"/>
      <c r="AH103" s="235"/>
      <c r="AI103" s="235"/>
      <c r="AJ103" s="235"/>
      <c r="AK103" s="235"/>
      <c r="AL103" s="235"/>
      <c r="AM103" s="235"/>
      <c r="AN103" s="235"/>
      <c r="AO103" s="235"/>
      <c r="AP103" s="235"/>
      <c r="AQ103" s="235"/>
      <c r="AR103" s="232"/>
      <c r="AS103" s="232"/>
      <c r="AT103" s="232"/>
      <c r="AU103" s="232"/>
      <c r="AV103" s="232"/>
    </row>
    <row r="104" spans="4:48">
      <c r="D104" s="231">
        <v>1611</v>
      </c>
      <c r="E104" s="231"/>
      <c r="F104" s="78" t="s">
        <v>333</v>
      </c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80"/>
      <c r="T104" s="232"/>
      <c r="U104" s="232"/>
      <c r="V104" s="232"/>
      <c r="W104" s="232"/>
      <c r="AB104" s="231">
        <v>3299</v>
      </c>
      <c r="AC104" s="231"/>
      <c r="AD104" s="235" t="s">
        <v>320</v>
      </c>
      <c r="AE104" s="235"/>
      <c r="AF104" s="235"/>
      <c r="AG104" s="235"/>
      <c r="AH104" s="235"/>
      <c r="AI104" s="235"/>
      <c r="AJ104" s="235"/>
      <c r="AK104" s="235"/>
      <c r="AL104" s="235"/>
      <c r="AM104" s="235"/>
      <c r="AN104" s="235"/>
      <c r="AO104" s="235"/>
      <c r="AP104" s="235"/>
      <c r="AQ104" s="235"/>
      <c r="AR104" s="232">
        <f>SUM(AR99:AR103)</f>
        <v>0</v>
      </c>
      <c r="AS104" s="232"/>
      <c r="AT104" s="232"/>
      <c r="AU104" s="232"/>
      <c r="AV104" s="232"/>
    </row>
    <row r="105" spans="4:48">
      <c r="D105" s="231">
        <v>1651</v>
      </c>
      <c r="E105" s="231"/>
      <c r="F105" s="78" t="s">
        <v>323</v>
      </c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80"/>
      <c r="T105" s="232"/>
      <c r="U105" s="232"/>
      <c r="V105" s="232"/>
      <c r="W105" s="232"/>
      <c r="AB105" s="231">
        <v>3300</v>
      </c>
      <c r="AC105" s="231"/>
      <c r="AD105" s="236" t="s">
        <v>322</v>
      </c>
      <c r="AE105" s="236"/>
      <c r="AF105" s="236"/>
      <c r="AG105" s="236"/>
      <c r="AH105" s="236"/>
      <c r="AI105" s="236"/>
      <c r="AJ105" s="236"/>
      <c r="AK105" s="236"/>
      <c r="AL105" s="236"/>
      <c r="AM105" s="236"/>
      <c r="AN105" s="236"/>
      <c r="AO105" s="236"/>
      <c r="AP105" s="236"/>
      <c r="AQ105" s="236"/>
      <c r="AR105" s="232">
        <f>AR104+AR97</f>
        <v>0</v>
      </c>
      <c r="AS105" s="232"/>
      <c r="AT105" s="232"/>
      <c r="AU105" s="232"/>
      <c r="AV105" s="232"/>
    </row>
    <row r="106" spans="4:48">
      <c r="D106" s="231">
        <v>1658</v>
      </c>
      <c r="E106" s="231"/>
      <c r="F106" s="78"/>
      <c r="G106" s="84" t="s">
        <v>324</v>
      </c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80"/>
      <c r="T106" s="232">
        <v>-1</v>
      </c>
      <c r="U106" s="232"/>
      <c r="V106" s="232"/>
      <c r="W106" s="232"/>
    </row>
    <row r="107" spans="4:48">
      <c r="D107" s="231">
        <v>1698</v>
      </c>
      <c r="E107" s="231"/>
      <c r="F107" s="78" t="s">
        <v>325</v>
      </c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80"/>
      <c r="T107" s="232"/>
      <c r="U107" s="232"/>
      <c r="V107" s="232"/>
      <c r="W107" s="232"/>
    </row>
    <row r="108" spans="4:48">
      <c r="D108" s="231">
        <v>1699</v>
      </c>
      <c r="E108" s="231"/>
      <c r="F108" s="78" t="s">
        <v>334</v>
      </c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80"/>
      <c r="T108" s="232">
        <f>SUM(T91:T107)</f>
        <v>-5</v>
      </c>
      <c r="U108" s="232"/>
      <c r="V108" s="232"/>
      <c r="W108" s="232"/>
    </row>
    <row r="109" spans="4:48">
      <c r="D109" s="231">
        <v>1700</v>
      </c>
      <c r="E109" s="231"/>
      <c r="F109" s="77" t="s">
        <v>326</v>
      </c>
      <c r="G109" s="78"/>
      <c r="H109" s="78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80"/>
      <c r="T109" s="232">
        <f>T90+T108</f>
        <v>-6</v>
      </c>
      <c r="U109" s="232"/>
      <c r="V109" s="232"/>
      <c r="W109" s="232"/>
    </row>
  </sheetData>
  <mergeCells count="670">
    <mergeCell ref="AN7:AV7"/>
    <mergeCell ref="D18:E18"/>
    <mergeCell ref="F18:O18"/>
    <mergeCell ref="P18:S18"/>
    <mergeCell ref="T18:W18"/>
    <mergeCell ref="X18:AA18"/>
    <mergeCell ref="AB18:AE18"/>
    <mergeCell ref="AF18:AI18"/>
    <mergeCell ref="AJ18:AM18"/>
    <mergeCell ref="AN18:AQ18"/>
    <mergeCell ref="AR18:AV18"/>
    <mergeCell ref="AR19:AV19"/>
    <mergeCell ref="D20:E20"/>
    <mergeCell ref="F20:O20"/>
    <mergeCell ref="P20:S20"/>
    <mergeCell ref="T20:W20"/>
    <mergeCell ref="X20:AA20"/>
    <mergeCell ref="AB20:AE20"/>
    <mergeCell ref="AF20:AI20"/>
    <mergeCell ref="AJ20:AM20"/>
    <mergeCell ref="AN20:AQ20"/>
    <mergeCell ref="AR20:AV20"/>
    <mergeCell ref="D19:E19"/>
    <mergeCell ref="F19:O19"/>
    <mergeCell ref="P19:S19"/>
    <mergeCell ref="T19:W19"/>
    <mergeCell ref="X19:AA19"/>
    <mergeCell ref="AB19:AE19"/>
    <mergeCell ref="AF19:AI19"/>
    <mergeCell ref="AJ19:AM19"/>
    <mergeCell ref="AN19:AQ19"/>
    <mergeCell ref="AR21:AV21"/>
    <mergeCell ref="D22:E22"/>
    <mergeCell ref="F22:O22"/>
    <mergeCell ref="P22:S22"/>
    <mergeCell ref="T22:W22"/>
    <mergeCell ref="X22:AA22"/>
    <mergeCell ref="AB22:AE22"/>
    <mergeCell ref="AF22:AI22"/>
    <mergeCell ref="AJ22:AM22"/>
    <mergeCell ref="AN22:AQ22"/>
    <mergeCell ref="AR22:AV22"/>
    <mergeCell ref="D21:E21"/>
    <mergeCell ref="F21:O21"/>
    <mergeCell ref="P21:S21"/>
    <mergeCell ref="T21:W21"/>
    <mergeCell ref="X21:AA21"/>
    <mergeCell ref="AB21:AE21"/>
    <mergeCell ref="AF21:AI21"/>
    <mergeCell ref="AJ21:AM21"/>
    <mergeCell ref="AN21:AQ21"/>
    <mergeCell ref="AR23:AV23"/>
    <mergeCell ref="D24:E24"/>
    <mergeCell ref="P24:S24"/>
    <mergeCell ref="T24:W24"/>
    <mergeCell ref="X24:AA24"/>
    <mergeCell ref="AB24:AE24"/>
    <mergeCell ref="AF24:AI24"/>
    <mergeCell ref="AJ24:AM24"/>
    <mergeCell ref="AN24:AQ24"/>
    <mergeCell ref="AR24:AV24"/>
    <mergeCell ref="D23:E23"/>
    <mergeCell ref="F23:O23"/>
    <mergeCell ref="P23:S23"/>
    <mergeCell ref="T23:W23"/>
    <mergeCell ref="X23:AA23"/>
    <mergeCell ref="AB23:AE23"/>
    <mergeCell ref="AF23:AI23"/>
    <mergeCell ref="AJ23:AM23"/>
    <mergeCell ref="AN23:AQ23"/>
    <mergeCell ref="D25:E25"/>
    <mergeCell ref="P25:S25"/>
    <mergeCell ref="T25:W25"/>
    <mergeCell ref="X25:AA25"/>
    <mergeCell ref="AB25:AE25"/>
    <mergeCell ref="AF25:AI25"/>
    <mergeCell ref="AJ25:AM25"/>
    <mergeCell ref="AN25:AQ25"/>
    <mergeCell ref="AR25:AV25"/>
    <mergeCell ref="D26:E26"/>
    <mergeCell ref="P26:S26"/>
    <mergeCell ref="T26:W26"/>
    <mergeCell ref="X26:AA26"/>
    <mergeCell ref="AB26:AE26"/>
    <mergeCell ref="AF26:AI26"/>
    <mergeCell ref="AJ26:AM26"/>
    <mergeCell ref="AN26:AQ26"/>
    <mergeCell ref="AR26:AV26"/>
    <mergeCell ref="AR27:AV27"/>
    <mergeCell ref="D28:E28"/>
    <mergeCell ref="F28:O28"/>
    <mergeCell ref="P28:S28"/>
    <mergeCell ref="T28:W28"/>
    <mergeCell ref="X28:AA28"/>
    <mergeCell ref="AB28:AE28"/>
    <mergeCell ref="AF28:AI28"/>
    <mergeCell ref="AJ28:AM28"/>
    <mergeCell ref="AN28:AQ28"/>
    <mergeCell ref="AR28:AV28"/>
    <mergeCell ref="D27:E27"/>
    <mergeCell ref="F27:O27"/>
    <mergeCell ref="P27:S27"/>
    <mergeCell ref="T27:W27"/>
    <mergeCell ref="X27:AA27"/>
    <mergeCell ref="AB27:AE27"/>
    <mergeCell ref="AF27:AI27"/>
    <mergeCell ref="AJ27:AM27"/>
    <mergeCell ref="AN27:AQ27"/>
    <mergeCell ref="D29:E29"/>
    <mergeCell ref="P29:S29"/>
    <mergeCell ref="T29:W29"/>
    <mergeCell ref="X29:AA29"/>
    <mergeCell ref="AB29:AE29"/>
    <mergeCell ref="AF29:AI29"/>
    <mergeCell ref="AJ29:AM29"/>
    <mergeCell ref="AN29:AQ29"/>
    <mergeCell ref="AR29:AV29"/>
    <mergeCell ref="D30:E30"/>
    <mergeCell ref="P30:S30"/>
    <mergeCell ref="T30:W30"/>
    <mergeCell ref="X30:AA30"/>
    <mergeCell ref="AB30:AE30"/>
    <mergeCell ref="AF30:AI30"/>
    <mergeCell ref="AJ30:AM30"/>
    <mergeCell ref="AN30:AQ30"/>
    <mergeCell ref="AR30:AV30"/>
    <mergeCell ref="D31:E31"/>
    <mergeCell ref="P31:S31"/>
    <mergeCell ref="T31:W31"/>
    <mergeCell ref="X31:AA31"/>
    <mergeCell ref="AB31:AE31"/>
    <mergeCell ref="AF31:AI31"/>
    <mergeCell ref="AJ31:AM31"/>
    <mergeCell ref="AN31:AQ31"/>
    <mergeCell ref="AR31:AV31"/>
    <mergeCell ref="D32:E32"/>
    <mergeCell ref="P32:S32"/>
    <mergeCell ref="T32:W32"/>
    <mergeCell ref="X32:AA32"/>
    <mergeCell ref="AB32:AE32"/>
    <mergeCell ref="AF32:AI32"/>
    <mergeCell ref="AJ32:AM32"/>
    <mergeCell ref="AN32:AQ32"/>
    <mergeCell ref="AR32:AV32"/>
    <mergeCell ref="D33:E33"/>
    <mergeCell ref="P33:S33"/>
    <mergeCell ref="T33:W33"/>
    <mergeCell ref="X33:AA33"/>
    <mergeCell ref="AB33:AE33"/>
    <mergeCell ref="AF33:AI33"/>
    <mergeCell ref="AJ33:AM33"/>
    <mergeCell ref="AN33:AQ33"/>
    <mergeCell ref="AR33:AV33"/>
    <mergeCell ref="D34:E34"/>
    <mergeCell ref="P34:S34"/>
    <mergeCell ref="T34:W34"/>
    <mergeCell ref="X34:AA34"/>
    <mergeCell ref="AB34:AE34"/>
    <mergeCell ref="AF34:AI34"/>
    <mergeCell ref="AJ34:AM34"/>
    <mergeCell ref="AN34:AQ34"/>
    <mergeCell ref="AR34:AV34"/>
    <mergeCell ref="AR35:AV35"/>
    <mergeCell ref="D36:E36"/>
    <mergeCell ref="F36:O36"/>
    <mergeCell ref="P36:S36"/>
    <mergeCell ref="T36:W36"/>
    <mergeCell ref="X36:AA36"/>
    <mergeCell ref="AB36:AE36"/>
    <mergeCell ref="AF36:AI36"/>
    <mergeCell ref="AJ36:AM36"/>
    <mergeCell ref="AN36:AQ36"/>
    <mergeCell ref="AR36:AV36"/>
    <mergeCell ref="D35:E35"/>
    <mergeCell ref="F35:O35"/>
    <mergeCell ref="P35:S35"/>
    <mergeCell ref="T35:W35"/>
    <mergeCell ref="X35:AA35"/>
    <mergeCell ref="AB35:AE35"/>
    <mergeCell ref="AF35:AI35"/>
    <mergeCell ref="AJ35:AM35"/>
    <mergeCell ref="AN35:AQ35"/>
    <mergeCell ref="AR37:AV37"/>
    <mergeCell ref="D38:E38"/>
    <mergeCell ref="P38:S38"/>
    <mergeCell ref="T38:W38"/>
    <mergeCell ref="X38:AA38"/>
    <mergeCell ref="AB38:AE38"/>
    <mergeCell ref="AF38:AI38"/>
    <mergeCell ref="AJ38:AM38"/>
    <mergeCell ref="AN38:AQ38"/>
    <mergeCell ref="AR38:AV38"/>
    <mergeCell ref="D37:E37"/>
    <mergeCell ref="F37:O37"/>
    <mergeCell ref="P37:S37"/>
    <mergeCell ref="T37:W37"/>
    <mergeCell ref="X37:AA37"/>
    <mergeCell ref="AB37:AE37"/>
    <mergeCell ref="AF37:AI37"/>
    <mergeCell ref="AJ37:AM37"/>
    <mergeCell ref="AN37:AQ37"/>
    <mergeCell ref="D39:E39"/>
    <mergeCell ref="P39:S39"/>
    <mergeCell ref="T39:W39"/>
    <mergeCell ref="X39:AA39"/>
    <mergeCell ref="AB39:AE39"/>
    <mergeCell ref="AF39:AI39"/>
    <mergeCell ref="AJ39:AM39"/>
    <mergeCell ref="AN39:AQ39"/>
    <mergeCell ref="AR39:AV39"/>
    <mergeCell ref="D40:E40"/>
    <mergeCell ref="P40:S40"/>
    <mergeCell ref="T40:W40"/>
    <mergeCell ref="X40:AA40"/>
    <mergeCell ref="AB40:AE40"/>
    <mergeCell ref="AF40:AI40"/>
    <mergeCell ref="AJ40:AM40"/>
    <mergeCell ref="AN40:AQ40"/>
    <mergeCell ref="AR40:AV40"/>
    <mergeCell ref="D41:E41"/>
    <mergeCell ref="P41:S41"/>
    <mergeCell ref="T41:W41"/>
    <mergeCell ref="X41:AA41"/>
    <mergeCell ref="AB41:AE41"/>
    <mergeCell ref="AF41:AI41"/>
    <mergeCell ref="AJ41:AM41"/>
    <mergeCell ref="AN41:AQ41"/>
    <mergeCell ref="AR41:AV41"/>
    <mergeCell ref="D42:E42"/>
    <mergeCell ref="P42:S42"/>
    <mergeCell ref="T42:W42"/>
    <mergeCell ref="X42:AA42"/>
    <mergeCell ref="AB42:AE42"/>
    <mergeCell ref="AF42:AI42"/>
    <mergeCell ref="AJ42:AM42"/>
    <mergeCell ref="AN42:AQ42"/>
    <mergeCell ref="AR42:AV42"/>
    <mergeCell ref="D43:E43"/>
    <mergeCell ref="P43:S43"/>
    <mergeCell ref="T43:W43"/>
    <mergeCell ref="X43:AA43"/>
    <mergeCell ref="AB43:AE43"/>
    <mergeCell ref="AF43:AI43"/>
    <mergeCell ref="AJ43:AM43"/>
    <mergeCell ref="AN43:AQ43"/>
    <mergeCell ref="AR43:AV43"/>
    <mergeCell ref="D44:E44"/>
    <mergeCell ref="P44:S44"/>
    <mergeCell ref="T44:W44"/>
    <mergeCell ref="X44:AA44"/>
    <mergeCell ref="AB44:AE44"/>
    <mergeCell ref="AF44:AI44"/>
    <mergeCell ref="AJ44:AM44"/>
    <mergeCell ref="AN44:AQ44"/>
    <mergeCell ref="AR44:AV44"/>
    <mergeCell ref="D45:E45"/>
    <mergeCell ref="P45:S45"/>
    <mergeCell ref="T45:W45"/>
    <mergeCell ref="X45:AA45"/>
    <mergeCell ref="AB45:AE45"/>
    <mergeCell ref="AF45:AI45"/>
    <mergeCell ref="AJ45:AM45"/>
    <mergeCell ref="AN45:AQ45"/>
    <mergeCell ref="AR45:AV45"/>
    <mergeCell ref="D46:E46"/>
    <mergeCell ref="P46:S46"/>
    <mergeCell ref="T46:W46"/>
    <mergeCell ref="X46:AA46"/>
    <mergeCell ref="AB46:AE46"/>
    <mergeCell ref="AF46:AI46"/>
    <mergeCell ref="AJ46:AM46"/>
    <mergeCell ref="AN46:AQ46"/>
    <mergeCell ref="AR46:AV46"/>
    <mergeCell ref="D47:E47"/>
    <mergeCell ref="P47:S47"/>
    <mergeCell ref="T47:W47"/>
    <mergeCell ref="X47:AA47"/>
    <mergeCell ref="AB47:AE47"/>
    <mergeCell ref="AF47:AI47"/>
    <mergeCell ref="AJ47:AM47"/>
    <mergeCell ref="AN47:AQ47"/>
    <mergeCell ref="AR47:AV47"/>
    <mergeCell ref="D48:E48"/>
    <mergeCell ref="P48:S48"/>
    <mergeCell ref="T48:W48"/>
    <mergeCell ref="X48:AA48"/>
    <mergeCell ref="AB48:AE48"/>
    <mergeCell ref="AF48:AI48"/>
    <mergeCell ref="AJ48:AM48"/>
    <mergeCell ref="AN48:AQ48"/>
    <mergeCell ref="AR48:AV48"/>
    <mergeCell ref="D49:E49"/>
    <mergeCell ref="P49:S49"/>
    <mergeCell ref="T49:W49"/>
    <mergeCell ref="X49:AA49"/>
    <mergeCell ref="AB49:AE49"/>
    <mergeCell ref="AF49:AI49"/>
    <mergeCell ref="AJ49:AM49"/>
    <mergeCell ref="AN49:AQ49"/>
    <mergeCell ref="AR49:AV49"/>
    <mergeCell ref="D50:E50"/>
    <mergeCell ref="P50:S50"/>
    <mergeCell ref="T50:W50"/>
    <mergeCell ref="X50:AA50"/>
    <mergeCell ref="AB50:AE50"/>
    <mergeCell ref="AF50:AI50"/>
    <mergeCell ref="AJ50:AM50"/>
    <mergeCell ref="AN50:AQ50"/>
    <mergeCell ref="AR50:AV50"/>
    <mergeCell ref="D51:E51"/>
    <mergeCell ref="P51:S51"/>
    <mergeCell ref="T51:W51"/>
    <mergeCell ref="X51:AA51"/>
    <mergeCell ref="AB51:AE51"/>
    <mergeCell ref="AF51:AI51"/>
    <mergeCell ref="AJ51:AM51"/>
    <mergeCell ref="AN51:AQ51"/>
    <mergeCell ref="AR51:AV51"/>
    <mergeCell ref="D52:E52"/>
    <mergeCell ref="P52:S52"/>
    <mergeCell ref="T52:W52"/>
    <mergeCell ref="X52:AA52"/>
    <mergeCell ref="AB52:AE52"/>
    <mergeCell ref="AF52:AI52"/>
    <mergeCell ref="AJ52:AM52"/>
    <mergeCell ref="AN52:AQ52"/>
    <mergeCell ref="AR52:AV52"/>
    <mergeCell ref="D53:E53"/>
    <mergeCell ref="P53:S53"/>
    <mergeCell ref="T53:W53"/>
    <mergeCell ref="X53:AA53"/>
    <mergeCell ref="AB53:AE53"/>
    <mergeCell ref="AF53:AI53"/>
    <mergeCell ref="AJ53:AM53"/>
    <mergeCell ref="AN53:AQ53"/>
    <mergeCell ref="AR53:AV53"/>
    <mergeCell ref="D54:E54"/>
    <mergeCell ref="P54:S54"/>
    <mergeCell ref="T54:W54"/>
    <mergeCell ref="X54:AA54"/>
    <mergeCell ref="AB54:AE54"/>
    <mergeCell ref="AF54:AI54"/>
    <mergeCell ref="AJ54:AM54"/>
    <mergeCell ref="AN54:AQ54"/>
    <mergeCell ref="AR54:AV54"/>
    <mergeCell ref="D55:E55"/>
    <mergeCell ref="P55:S55"/>
    <mergeCell ref="T55:W55"/>
    <mergeCell ref="X55:AA55"/>
    <mergeCell ref="AB55:AE55"/>
    <mergeCell ref="AF55:AI55"/>
    <mergeCell ref="AJ55:AM55"/>
    <mergeCell ref="AN55:AQ55"/>
    <mergeCell ref="AR55:AV55"/>
    <mergeCell ref="D56:E56"/>
    <mergeCell ref="P56:S56"/>
    <mergeCell ref="T56:W56"/>
    <mergeCell ref="X56:AA56"/>
    <mergeCell ref="AB56:AE56"/>
    <mergeCell ref="AF56:AI56"/>
    <mergeCell ref="AJ56:AM56"/>
    <mergeCell ref="AN56:AQ56"/>
    <mergeCell ref="AR56:AV56"/>
    <mergeCell ref="D57:E57"/>
    <mergeCell ref="P57:S57"/>
    <mergeCell ref="T57:W57"/>
    <mergeCell ref="X57:AA57"/>
    <mergeCell ref="AB57:AE57"/>
    <mergeCell ref="AF57:AI57"/>
    <mergeCell ref="AJ57:AM57"/>
    <mergeCell ref="AN57:AQ57"/>
    <mergeCell ref="AR57:AV57"/>
    <mergeCell ref="D58:E58"/>
    <mergeCell ref="P58:S58"/>
    <mergeCell ref="T58:W58"/>
    <mergeCell ref="X58:AA58"/>
    <mergeCell ref="AB58:AE58"/>
    <mergeCell ref="AF58:AI58"/>
    <mergeCell ref="AJ58:AM58"/>
    <mergeCell ref="AN58:AQ58"/>
    <mergeCell ref="AR58:AV58"/>
    <mergeCell ref="D59:E59"/>
    <mergeCell ref="P59:S59"/>
    <mergeCell ref="T59:W59"/>
    <mergeCell ref="X59:AA59"/>
    <mergeCell ref="AB59:AE59"/>
    <mergeCell ref="AF59:AI59"/>
    <mergeCell ref="AJ59:AM59"/>
    <mergeCell ref="AN59:AQ59"/>
    <mergeCell ref="AR59:AV59"/>
    <mergeCell ref="D60:E60"/>
    <mergeCell ref="P60:S60"/>
    <mergeCell ref="T60:W60"/>
    <mergeCell ref="X60:AA60"/>
    <mergeCell ref="AB60:AE60"/>
    <mergeCell ref="AF60:AI60"/>
    <mergeCell ref="AJ60:AM60"/>
    <mergeCell ref="AN60:AQ60"/>
    <mergeCell ref="AR60:AV60"/>
    <mergeCell ref="D61:E61"/>
    <mergeCell ref="P61:S61"/>
    <mergeCell ref="T61:W61"/>
    <mergeCell ref="X61:AA61"/>
    <mergeCell ref="AB61:AE61"/>
    <mergeCell ref="AF61:AI61"/>
    <mergeCell ref="AJ61:AM61"/>
    <mergeCell ref="AN61:AQ61"/>
    <mergeCell ref="AR61:AV61"/>
    <mergeCell ref="D62:E62"/>
    <mergeCell ref="P62:S62"/>
    <mergeCell ref="T62:W62"/>
    <mergeCell ref="X62:AA62"/>
    <mergeCell ref="AB62:AE62"/>
    <mergeCell ref="AF62:AI62"/>
    <mergeCell ref="AJ62:AM62"/>
    <mergeCell ref="AN62:AQ62"/>
    <mergeCell ref="AR62:AV62"/>
    <mergeCell ref="D63:E63"/>
    <mergeCell ref="P63:S63"/>
    <mergeCell ref="T63:W63"/>
    <mergeCell ref="X63:AA63"/>
    <mergeCell ref="AB63:AE63"/>
    <mergeCell ref="AF63:AI63"/>
    <mergeCell ref="AJ63:AM63"/>
    <mergeCell ref="AN63:AQ63"/>
    <mergeCell ref="AR63:AV63"/>
    <mergeCell ref="D64:E64"/>
    <mergeCell ref="P64:S64"/>
    <mergeCell ref="T64:W64"/>
    <mergeCell ref="X64:AA64"/>
    <mergeCell ref="AB64:AE64"/>
    <mergeCell ref="AF64:AI64"/>
    <mergeCell ref="AJ64:AM64"/>
    <mergeCell ref="AN64:AQ64"/>
    <mergeCell ref="AR64:AV64"/>
    <mergeCell ref="D65:E65"/>
    <mergeCell ref="P65:S65"/>
    <mergeCell ref="T65:W65"/>
    <mergeCell ref="X65:AA65"/>
    <mergeCell ref="AB65:AE65"/>
    <mergeCell ref="AF65:AI65"/>
    <mergeCell ref="AJ65:AM65"/>
    <mergeCell ref="AN65:AQ65"/>
    <mergeCell ref="AR65:AV65"/>
    <mergeCell ref="D66:E66"/>
    <mergeCell ref="P66:S66"/>
    <mergeCell ref="T66:W66"/>
    <mergeCell ref="X66:AA66"/>
    <mergeCell ref="AB66:AE66"/>
    <mergeCell ref="AF66:AI66"/>
    <mergeCell ref="AJ66:AM66"/>
    <mergeCell ref="AR66:AV66"/>
    <mergeCell ref="D68:E68"/>
    <mergeCell ref="F68:O68"/>
    <mergeCell ref="P68:S68"/>
    <mergeCell ref="T68:W68"/>
    <mergeCell ref="X68:AA68"/>
    <mergeCell ref="AB68:AE68"/>
    <mergeCell ref="AF68:AI68"/>
    <mergeCell ref="AJ68:AM68"/>
    <mergeCell ref="AN68:AQ68"/>
    <mergeCell ref="AR68:AV68"/>
    <mergeCell ref="X71:AA71"/>
    <mergeCell ref="X72:AA72"/>
    <mergeCell ref="X73:AA73"/>
    <mergeCell ref="D74:E74"/>
    <mergeCell ref="F74:S74"/>
    <mergeCell ref="T74:W74"/>
    <mergeCell ref="X74:AA74"/>
    <mergeCell ref="AB74:AC74"/>
    <mergeCell ref="AD74:AQ74"/>
    <mergeCell ref="AR74:AV74"/>
    <mergeCell ref="D75:E75"/>
    <mergeCell ref="T75:W75"/>
    <mergeCell ref="X75:AA75"/>
    <mergeCell ref="AB75:AC75"/>
    <mergeCell ref="AD75:AQ75"/>
    <mergeCell ref="AR75:AV75"/>
    <mergeCell ref="D76:E76"/>
    <mergeCell ref="T76:W76"/>
    <mergeCell ref="X76:AA76"/>
    <mergeCell ref="AB76:AC76"/>
    <mergeCell ref="AD76:AQ76"/>
    <mergeCell ref="AR76:AV76"/>
    <mergeCell ref="D77:E77"/>
    <mergeCell ref="T77:W77"/>
    <mergeCell ref="X77:AA77"/>
    <mergeCell ref="AB77:AC77"/>
    <mergeCell ref="AD77:AQ77"/>
    <mergeCell ref="AR77:AV77"/>
    <mergeCell ref="D78:E78"/>
    <mergeCell ref="T78:W78"/>
    <mergeCell ref="X78:AA78"/>
    <mergeCell ref="AB78:AC78"/>
    <mergeCell ref="AD78:AQ78"/>
    <mergeCell ref="AR78:AV78"/>
    <mergeCell ref="D79:E79"/>
    <mergeCell ref="T79:W79"/>
    <mergeCell ref="X79:AA79"/>
    <mergeCell ref="AB79:AC79"/>
    <mergeCell ref="AD79:AQ79"/>
    <mergeCell ref="AR79:AV79"/>
    <mergeCell ref="D80:E80"/>
    <mergeCell ref="T80:W80"/>
    <mergeCell ref="X80:AA80"/>
    <mergeCell ref="AB80:AC80"/>
    <mergeCell ref="AD80:AQ80"/>
    <mergeCell ref="AR80:AV80"/>
    <mergeCell ref="D81:E81"/>
    <mergeCell ref="T81:W81"/>
    <mergeCell ref="X81:AA81"/>
    <mergeCell ref="AB81:AC81"/>
    <mergeCell ref="AD81:AQ81"/>
    <mergeCell ref="AR81:AV81"/>
    <mergeCell ref="D82:E82"/>
    <mergeCell ref="T82:W82"/>
    <mergeCell ref="X82:AA82"/>
    <mergeCell ref="AB82:AC82"/>
    <mergeCell ref="AD82:AQ82"/>
    <mergeCell ref="AR82:AV82"/>
    <mergeCell ref="D83:E83"/>
    <mergeCell ref="T83:W83"/>
    <mergeCell ref="X83:AA83"/>
    <mergeCell ref="AB83:AC83"/>
    <mergeCell ref="AD83:AQ83"/>
    <mergeCell ref="AR83:AV83"/>
    <mergeCell ref="D84:E84"/>
    <mergeCell ref="T84:W84"/>
    <mergeCell ref="X84:AA84"/>
    <mergeCell ref="AB84:AC84"/>
    <mergeCell ref="AD84:AQ84"/>
    <mergeCell ref="AR84:AV84"/>
    <mergeCell ref="D85:E85"/>
    <mergeCell ref="T85:W85"/>
    <mergeCell ref="X85:AA85"/>
    <mergeCell ref="AB85:AC85"/>
    <mergeCell ref="AD85:AQ85"/>
    <mergeCell ref="AR85:AV85"/>
    <mergeCell ref="D86:E86"/>
    <mergeCell ref="T86:W86"/>
    <mergeCell ref="X86:AA86"/>
    <mergeCell ref="AB86:AC86"/>
    <mergeCell ref="AD86:AQ86"/>
    <mergeCell ref="AR86:AV86"/>
    <mergeCell ref="D87:E87"/>
    <mergeCell ref="T87:W87"/>
    <mergeCell ref="X87:AA87"/>
    <mergeCell ref="AB87:AC87"/>
    <mergeCell ref="AD87:AQ87"/>
    <mergeCell ref="AR87:AV87"/>
    <mergeCell ref="D88:E88"/>
    <mergeCell ref="T88:W88"/>
    <mergeCell ref="X88:AA88"/>
    <mergeCell ref="AB88:AC88"/>
    <mergeCell ref="AD88:AQ88"/>
    <mergeCell ref="AR88:AV88"/>
    <mergeCell ref="D89:E89"/>
    <mergeCell ref="T89:W89"/>
    <mergeCell ref="X89:AA89"/>
    <mergeCell ref="AB89:AC89"/>
    <mergeCell ref="AD89:AQ89"/>
    <mergeCell ref="AR89:AV89"/>
    <mergeCell ref="D90:E90"/>
    <mergeCell ref="T90:W90"/>
    <mergeCell ref="AB90:AC90"/>
    <mergeCell ref="AD90:AQ90"/>
    <mergeCell ref="AR90:AV90"/>
    <mergeCell ref="D91:E91"/>
    <mergeCell ref="T91:W91"/>
    <mergeCell ref="X91:AA91"/>
    <mergeCell ref="AB91:AC91"/>
    <mergeCell ref="AD91:AQ91"/>
    <mergeCell ref="AR91:AV91"/>
    <mergeCell ref="D92:E92"/>
    <mergeCell ref="T92:W92"/>
    <mergeCell ref="AB92:AC92"/>
    <mergeCell ref="AD92:AQ92"/>
    <mergeCell ref="AR92:AV92"/>
    <mergeCell ref="D93:E93"/>
    <mergeCell ref="T93:W93"/>
    <mergeCell ref="AB93:AC93"/>
    <mergeCell ref="AD93:AQ93"/>
    <mergeCell ref="AR93:AV93"/>
    <mergeCell ref="D94:E94"/>
    <mergeCell ref="T94:W94"/>
    <mergeCell ref="AB94:AC94"/>
    <mergeCell ref="AD94:AQ94"/>
    <mergeCell ref="AR94:AV94"/>
    <mergeCell ref="D95:E95"/>
    <mergeCell ref="T95:W95"/>
    <mergeCell ref="AB95:AC95"/>
    <mergeCell ref="AD95:AQ95"/>
    <mergeCell ref="AR95:AV95"/>
    <mergeCell ref="D96:E96"/>
    <mergeCell ref="T96:W96"/>
    <mergeCell ref="AB96:AC96"/>
    <mergeCell ref="AD96:AQ96"/>
    <mergeCell ref="AR96:AV96"/>
    <mergeCell ref="D97:E97"/>
    <mergeCell ref="T97:W97"/>
    <mergeCell ref="AB97:AC97"/>
    <mergeCell ref="AD97:AQ97"/>
    <mergeCell ref="AR97:AV97"/>
    <mergeCell ref="D98:E98"/>
    <mergeCell ref="T98:W98"/>
    <mergeCell ref="AB98:AC98"/>
    <mergeCell ref="AD98:AQ98"/>
    <mergeCell ref="AR98:AV98"/>
    <mergeCell ref="D99:E99"/>
    <mergeCell ref="T99:W99"/>
    <mergeCell ref="AB99:AC99"/>
    <mergeCell ref="AD99:AQ99"/>
    <mergeCell ref="AR99:AV99"/>
    <mergeCell ref="D100:E100"/>
    <mergeCell ref="T100:W100"/>
    <mergeCell ref="AB100:AC100"/>
    <mergeCell ref="AD100:AQ100"/>
    <mergeCell ref="AR100:AV100"/>
    <mergeCell ref="D101:E101"/>
    <mergeCell ref="T101:W101"/>
    <mergeCell ref="AB101:AC101"/>
    <mergeCell ref="AD101:AQ101"/>
    <mergeCell ref="AR101:AV101"/>
    <mergeCell ref="D102:E102"/>
    <mergeCell ref="T102:W102"/>
    <mergeCell ref="AB102:AC102"/>
    <mergeCell ref="AD102:AQ102"/>
    <mergeCell ref="AR102:AV102"/>
    <mergeCell ref="T105:W105"/>
    <mergeCell ref="AB105:AC105"/>
    <mergeCell ref="AD105:AQ105"/>
    <mergeCell ref="AR105:AV105"/>
    <mergeCell ref="D106:E106"/>
    <mergeCell ref="T106:W106"/>
    <mergeCell ref="D107:E107"/>
    <mergeCell ref="T107:W107"/>
    <mergeCell ref="D103:E103"/>
    <mergeCell ref="T103:W103"/>
    <mergeCell ref="AB103:AC103"/>
    <mergeCell ref="AD103:AQ103"/>
    <mergeCell ref="AR103:AV103"/>
    <mergeCell ref="D104:E104"/>
    <mergeCell ref="T104:W104"/>
    <mergeCell ref="AB104:AC104"/>
    <mergeCell ref="AD104:AQ104"/>
    <mergeCell ref="AR104:AV104"/>
    <mergeCell ref="D108:E108"/>
    <mergeCell ref="T108:W108"/>
    <mergeCell ref="D109:E109"/>
    <mergeCell ref="T109:W109"/>
    <mergeCell ref="E3:K4"/>
    <mergeCell ref="AN3:AV5"/>
    <mergeCell ref="D6:L11"/>
    <mergeCell ref="D15:E17"/>
    <mergeCell ref="F15:O17"/>
    <mergeCell ref="P15:S17"/>
    <mergeCell ref="T15:W17"/>
    <mergeCell ref="X15:AA17"/>
    <mergeCell ref="AB15:AE17"/>
    <mergeCell ref="AF15:AI17"/>
    <mergeCell ref="AJ15:AM17"/>
    <mergeCell ref="AN15:AQ17"/>
    <mergeCell ref="AR15:AV17"/>
    <mergeCell ref="D71:E73"/>
    <mergeCell ref="AB71:AC73"/>
    <mergeCell ref="F71:S73"/>
    <mergeCell ref="T71:W73"/>
    <mergeCell ref="AD71:AQ73"/>
    <mergeCell ref="AR71:AV73"/>
    <mergeCell ref="D105:E10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D3:AV92"/>
  <sheetViews>
    <sheetView workbookViewId="0">
      <selection activeCell="Z1" sqref="Z1"/>
    </sheetView>
  </sheetViews>
  <sheetFormatPr defaultColWidth="9.1796875" defaultRowHeight="11.5"/>
  <cols>
    <col min="1" max="2" width="9.1796875" style="1"/>
    <col min="3" max="48" width="3.453125" style="1" customWidth="1"/>
    <col min="49" max="16384" width="9.1796875" style="1"/>
  </cols>
  <sheetData>
    <row r="3" spans="4:48">
      <c r="D3" s="3"/>
      <c r="E3" s="233" t="s">
        <v>9</v>
      </c>
      <c r="F3" s="233"/>
      <c r="G3" s="233"/>
      <c r="H3" s="233"/>
      <c r="I3" s="233"/>
      <c r="J3" s="233"/>
      <c r="K3" s="233"/>
      <c r="L3" s="17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92" t="s">
        <v>335</v>
      </c>
      <c r="AO3" s="192"/>
      <c r="AP3" s="192"/>
      <c r="AQ3" s="192"/>
      <c r="AR3" s="192"/>
      <c r="AS3" s="192"/>
      <c r="AT3" s="192"/>
      <c r="AU3" s="192"/>
      <c r="AV3" s="193"/>
    </row>
    <row r="4" spans="4:48" ht="18">
      <c r="D4" s="69"/>
      <c r="E4" s="234"/>
      <c r="F4" s="234"/>
      <c r="G4" s="234"/>
      <c r="H4" s="234"/>
      <c r="I4" s="234"/>
      <c r="J4" s="234"/>
      <c r="K4" s="234"/>
      <c r="L4" s="19"/>
      <c r="M4" s="20"/>
      <c r="N4" s="21" t="s">
        <v>1</v>
      </c>
      <c r="O4" s="20"/>
      <c r="P4" s="20"/>
      <c r="Q4" s="20"/>
      <c r="R4" s="20"/>
      <c r="S4" s="20"/>
      <c r="T4" s="20"/>
      <c r="U4" s="20"/>
      <c r="V4" s="20"/>
      <c r="W4" s="20"/>
      <c r="X4" s="20"/>
      <c r="Y4" s="29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194"/>
      <c r="AO4" s="194"/>
      <c r="AP4" s="194"/>
      <c r="AQ4" s="194"/>
      <c r="AR4" s="194"/>
      <c r="AS4" s="194"/>
      <c r="AT4" s="194"/>
      <c r="AU4" s="194"/>
      <c r="AV4" s="195"/>
    </row>
    <row r="5" spans="4:48" ht="14">
      <c r="D5" s="5" t="s">
        <v>184</v>
      </c>
      <c r="E5" s="70"/>
      <c r="F5" s="71"/>
      <c r="G5" s="71"/>
      <c r="H5" s="71"/>
      <c r="I5" s="71"/>
      <c r="J5" s="71"/>
      <c r="K5" s="71"/>
      <c r="L5" s="71"/>
      <c r="M5" s="20"/>
      <c r="N5" s="22" t="s">
        <v>185</v>
      </c>
      <c r="O5" s="20"/>
      <c r="P5" s="20"/>
      <c r="Q5" s="20"/>
      <c r="R5" s="20"/>
      <c r="S5" s="20"/>
      <c r="T5" s="20"/>
      <c r="U5" s="20"/>
      <c r="V5" s="20"/>
      <c r="W5" s="20"/>
      <c r="X5" s="20"/>
      <c r="Y5" s="29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194"/>
      <c r="AO5" s="194"/>
      <c r="AP5" s="194"/>
      <c r="AQ5" s="194"/>
      <c r="AR5" s="194"/>
      <c r="AS5" s="194"/>
      <c r="AT5" s="194"/>
      <c r="AU5" s="194"/>
      <c r="AV5" s="195"/>
    </row>
    <row r="6" spans="4:48" ht="3" customHeight="1">
      <c r="D6" s="227" t="s">
        <v>336</v>
      </c>
      <c r="E6" s="228"/>
      <c r="F6" s="228"/>
      <c r="G6" s="228"/>
      <c r="H6" s="228"/>
      <c r="I6" s="228"/>
      <c r="J6" s="228"/>
      <c r="K6" s="228"/>
      <c r="L6" s="228"/>
      <c r="M6" s="20"/>
      <c r="N6" s="23"/>
      <c r="O6" s="20"/>
      <c r="P6" s="20"/>
      <c r="Q6" s="20"/>
      <c r="R6" s="20"/>
      <c r="S6" s="20"/>
      <c r="T6" s="20"/>
      <c r="U6" s="20"/>
      <c r="V6" s="20"/>
      <c r="W6" s="20"/>
      <c r="X6" s="20"/>
      <c r="Y6" s="29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30"/>
      <c r="AQ6" s="30"/>
      <c r="AR6" s="30"/>
      <c r="AS6" s="30"/>
      <c r="AT6" s="30"/>
      <c r="AU6" s="30"/>
      <c r="AV6" s="31"/>
    </row>
    <row r="7" spans="4:48">
      <c r="D7" s="227"/>
      <c r="E7" s="228"/>
      <c r="F7" s="228"/>
      <c r="G7" s="228"/>
      <c r="H7" s="228"/>
      <c r="I7" s="228"/>
      <c r="J7" s="228"/>
      <c r="K7" s="228"/>
      <c r="L7" s="228"/>
      <c r="M7" s="20"/>
      <c r="N7" s="23" t="s">
        <v>187</v>
      </c>
      <c r="O7" s="20"/>
      <c r="P7" s="20"/>
      <c r="Q7" s="20"/>
      <c r="R7" s="20"/>
      <c r="S7" s="20"/>
      <c r="T7" s="20"/>
      <c r="U7" s="20"/>
      <c r="V7" s="20"/>
      <c r="W7" s="20"/>
      <c r="X7" s="20"/>
      <c r="Y7" s="29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186" t="s">
        <v>188</v>
      </c>
      <c r="AO7" s="186"/>
      <c r="AP7" s="186"/>
      <c r="AQ7" s="186"/>
      <c r="AR7" s="186"/>
      <c r="AS7" s="186"/>
      <c r="AT7" s="186"/>
      <c r="AU7" s="186"/>
      <c r="AV7" s="187"/>
    </row>
    <row r="8" spans="4:48" ht="14">
      <c r="D8" s="227"/>
      <c r="E8" s="228"/>
      <c r="F8" s="228"/>
      <c r="G8" s="228"/>
      <c r="H8" s="228"/>
      <c r="I8" s="228"/>
      <c r="J8" s="228"/>
      <c r="K8" s="228"/>
      <c r="L8" s="228"/>
      <c r="M8" s="20"/>
      <c r="N8" s="24"/>
      <c r="O8" s="23" t="s">
        <v>189</v>
      </c>
      <c r="P8" s="20"/>
      <c r="Q8" s="20"/>
      <c r="R8" s="20"/>
      <c r="S8" s="20"/>
      <c r="T8" s="20"/>
      <c r="U8" s="20"/>
      <c r="V8" s="20"/>
      <c r="W8" s="20"/>
      <c r="X8" s="20"/>
      <c r="Y8" s="29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8">
        <f>INDUK1!E14</f>
        <v>2</v>
      </c>
      <c r="AQ8" s="28">
        <f>INDUK1!G14</f>
        <v>0</v>
      </c>
      <c r="AR8" s="28">
        <f>INDUK1!I14</f>
        <v>2</v>
      </c>
      <c r="AS8" s="28">
        <f>INDUK1!K14</f>
        <v>5</v>
      </c>
      <c r="AT8" s="30"/>
      <c r="AU8" s="30"/>
      <c r="AV8" s="31"/>
    </row>
    <row r="9" spans="4:48" ht="3" customHeight="1">
      <c r="D9" s="227"/>
      <c r="E9" s="228"/>
      <c r="F9" s="228"/>
      <c r="G9" s="228"/>
      <c r="H9" s="228"/>
      <c r="I9" s="228"/>
      <c r="J9" s="228"/>
      <c r="K9" s="228"/>
      <c r="L9" s="228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9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30"/>
      <c r="AQ9" s="30"/>
      <c r="AR9" s="30"/>
      <c r="AS9" s="30"/>
      <c r="AT9" s="30"/>
      <c r="AU9" s="30"/>
      <c r="AV9" s="31"/>
    </row>
    <row r="10" spans="4:48" ht="14">
      <c r="D10" s="227"/>
      <c r="E10" s="228"/>
      <c r="F10" s="228"/>
      <c r="G10" s="228"/>
      <c r="H10" s="228"/>
      <c r="I10" s="228"/>
      <c r="J10" s="228"/>
      <c r="K10" s="228"/>
      <c r="L10" s="228"/>
      <c r="M10" s="20"/>
      <c r="N10" s="25"/>
      <c r="O10" s="25" t="s">
        <v>28</v>
      </c>
      <c r="P10" s="20"/>
      <c r="Q10" s="20"/>
      <c r="R10" s="28">
        <f>INDUK1!AF21</f>
        <v>0</v>
      </c>
      <c r="S10" s="28">
        <f>INDUK1!AG21</f>
        <v>0</v>
      </c>
      <c r="T10" s="28">
        <f>INDUK1!AH21</f>
        <v>0</v>
      </c>
      <c r="U10" s="28">
        <f>INDUK1!AI21</f>
        <v>0</v>
      </c>
      <c r="V10" s="28">
        <f>INDUK1!AJ21</f>
        <v>0</v>
      </c>
      <c r="W10" s="28">
        <f>INDUK1!AK21</f>
        <v>0</v>
      </c>
      <c r="X10" s="28">
        <f>INDUK1!AL21</f>
        <v>0</v>
      </c>
      <c r="Y10" s="28">
        <f>INDUK1!AM21</f>
        <v>0</v>
      </c>
      <c r="Z10" s="28">
        <f>INDUK1!AN21</f>
        <v>0</v>
      </c>
      <c r="AA10" s="28">
        <f>INDUK1!AO21</f>
        <v>0</v>
      </c>
      <c r="AB10" s="28">
        <f>INDUK1!AP21</f>
        <v>0</v>
      </c>
      <c r="AC10" s="28">
        <f>INDUK1!AQ21</f>
        <v>0</v>
      </c>
      <c r="AD10" s="28">
        <f>INDUK1!AR21</f>
        <v>0</v>
      </c>
      <c r="AE10" s="28">
        <f>INDUK1!AS21</f>
        <v>0</v>
      </c>
      <c r="AF10" s="28">
        <f>INDUK1!AT21</f>
        <v>0</v>
      </c>
      <c r="AG10" s="28">
        <f>INDUK1!AU21</f>
        <v>0</v>
      </c>
      <c r="AH10" s="20"/>
      <c r="AI10" s="20"/>
      <c r="AJ10" s="20"/>
      <c r="AK10" s="20"/>
      <c r="AL10" s="20"/>
      <c r="AM10" s="20"/>
      <c r="AN10" s="20"/>
      <c r="AO10" s="20"/>
      <c r="AP10" s="30"/>
      <c r="AQ10" s="30"/>
      <c r="AR10" s="30"/>
      <c r="AS10" s="30"/>
      <c r="AT10" s="30"/>
      <c r="AU10" s="30"/>
      <c r="AV10" s="31"/>
    </row>
    <row r="11" spans="4:48">
      <c r="D11" s="229"/>
      <c r="E11" s="230"/>
      <c r="F11" s="230"/>
      <c r="G11" s="230"/>
      <c r="H11" s="230"/>
      <c r="I11" s="230"/>
      <c r="J11" s="230"/>
      <c r="K11" s="230"/>
      <c r="L11" s="230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32"/>
    </row>
    <row r="12" spans="4:48" ht="3" customHeight="1"/>
    <row r="13" spans="4:48">
      <c r="D13" s="7" t="s">
        <v>25</v>
      </c>
      <c r="E13" s="8" t="s">
        <v>190</v>
      </c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</row>
    <row r="14" spans="4:48" ht="3" customHeight="1"/>
    <row r="15" spans="4:48">
      <c r="D15" s="132" t="s">
        <v>191</v>
      </c>
      <c r="E15" s="132"/>
      <c r="F15" s="151" t="s">
        <v>192</v>
      </c>
      <c r="G15" s="151"/>
      <c r="H15" s="151"/>
      <c r="I15" s="151"/>
      <c r="J15" s="151"/>
      <c r="K15" s="151"/>
      <c r="L15" s="151"/>
      <c r="M15" s="151"/>
      <c r="N15" s="151"/>
      <c r="O15" s="151"/>
      <c r="P15" s="132" t="s">
        <v>193</v>
      </c>
      <c r="Q15" s="132"/>
      <c r="R15" s="132"/>
      <c r="S15" s="132"/>
      <c r="T15" s="132" t="s">
        <v>194</v>
      </c>
      <c r="U15" s="132"/>
      <c r="V15" s="132"/>
      <c r="W15" s="132"/>
      <c r="X15" s="132" t="s">
        <v>195</v>
      </c>
      <c r="Y15" s="132"/>
      <c r="Z15" s="132"/>
      <c r="AA15" s="132"/>
      <c r="AB15" s="132" t="s">
        <v>196</v>
      </c>
      <c r="AC15" s="132"/>
      <c r="AD15" s="132"/>
      <c r="AE15" s="132"/>
      <c r="AF15" s="132" t="s">
        <v>197</v>
      </c>
      <c r="AG15" s="132"/>
      <c r="AH15" s="132"/>
      <c r="AI15" s="132"/>
      <c r="AJ15" s="132" t="s">
        <v>198</v>
      </c>
      <c r="AK15" s="132"/>
      <c r="AL15" s="132"/>
      <c r="AM15" s="132"/>
      <c r="AN15" s="132" t="s">
        <v>199</v>
      </c>
      <c r="AO15" s="132"/>
      <c r="AP15" s="132"/>
      <c r="AQ15" s="132"/>
      <c r="AR15" s="132" t="s">
        <v>200</v>
      </c>
      <c r="AS15" s="132"/>
      <c r="AT15" s="132"/>
      <c r="AU15" s="132"/>
      <c r="AV15" s="132"/>
    </row>
    <row r="16" spans="4:48">
      <c r="D16" s="132"/>
      <c r="E16" s="132"/>
      <c r="F16" s="151"/>
      <c r="G16" s="151"/>
      <c r="H16" s="151"/>
      <c r="I16" s="151"/>
      <c r="J16" s="151"/>
      <c r="K16" s="151"/>
      <c r="L16" s="151"/>
      <c r="M16" s="151"/>
      <c r="N16" s="151"/>
      <c r="O16" s="151"/>
      <c r="P16" s="132"/>
      <c r="Q16" s="132"/>
      <c r="R16" s="132"/>
      <c r="S16" s="132"/>
      <c r="T16" s="132"/>
      <c r="U16" s="132"/>
      <c r="V16" s="132"/>
      <c r="W16" s="132"/>
      <c r="X16" s="132"/>
      <c r="Y16" s="132"/>
      <c r="Z16" s="132"/>
      <c r="AA16" s="132"/>
      <c r="AB16" s="132"/>
      <c r="AC16" s="132"/>
      <c r="AD16" s="132"/>
      <c r="AE16" s="132"/>
      <c r="AF16" s="132"/>
      <c r="AG16" s="132"/>
      <c r="AH16" s="132"/>
      <c r="AI16" s="132"/>
      <c r="AJ16" s="132"/>
      <c r="AK16" s="132"/>
      <c r="AL16" s="132"/>
      <c r="AM16" s="132"/>
      <c r="AN16" s="132"/>
      <c r="AO16" s="132"/>
      <c r="AP16" s="132"/>
      <c r="AQ16" s="132"/>
      <c r="AR16" s="132"/>
      <c r="AS16" s="132"/>
      <c r="AT16" s="132"/>
      <c r="AU16" s="132"/>
      <c r="AV16" s="132"/>
    </row>
    <row r="17" spans="4:48">
      <c r="D17" s="132"/>
      <c r="E17" s="132"/>
      <c r="F17" s="151"/>
      <c r="G17" s="151"/>
      <c r="H17" s="151"/>
      <c r="I17" s="151"/>
      <c r="J17" s="151"/>
      <c r="K17" s="151"/>
      <c r="L17" s="151"/>
      <c r="M17" s="151"/>
      <c r="N17" s="151"/>
      <c r="O17" s="151"/>
      <c r="P17" s="132"/>
      <c r="Q17" s="132"/>
      <c r="R17" s="132"/>
      <c r="S17" s="132"/>
      <c r="T17" s="132"/>
      <c r="U17" s="132"/>
      <c r="V17" s="132"/>
      <c r="W17" s="132"/>
      <c r="X17" s="132"/>
      <c r="Y17" s="132"/>
      <c r="Z17" s="132"/>
      <c r="AA17" s="132"/>
      <c r="AB17" s="132"/>
      <c r="AC17" s="132"/>
      <c r="AD17" s="132"/>
      <c r="AE17" s="132"/>
      <c r="AF17" s="132"/>
      <c r="AG17" s="132"/>
      <c r="AH17" s="132"/>
      <c r="AI17" s="132"/>
      <c r="AJ17" s="132"/>
      <c r="AK17" s="132"/>
      <c r="AL17" s="132"/>
      <c r="AM17" s="132"/>
      <c r="AN17" s="132"/>
      <c r="AO17" s="132"/>
      <c r="AP17" s="132"/>
      <c r="AQ17" s="132"/>
      <c r="AR17" s="132"/>
      <c r="AS17" s="132"/>
      <c r="AT17" s="132"/>
      <c r="AU17" s="132"/>
      <c r="AV17" s="132"/>
    </row>
    <row r="18" spans="4:48">
      <c r="D18" s="162" t="s">
        <v>201</v>
      </c>
      <c r="E18" s="161"/>
      <c r="F18" s="162" t="s">
        <v>202</v>
      </c>
      <c r="G18" s="161"/>
      <c r="H18" s="161"/>
      <c r="I18" s="161"/>
      <c r="J18" s="161"/>
      <c r="K18" s="161"/>
      <c r="L18" s="161"/>
      <c r="M18" s="161"/>
      <c r="N18" s="161"/>
      <c r="O18" s="161"/>
      <c r="P18" s="162" t="s">
        <v>203</v>
      </c>
      <c r="Q18" s="161"/>
      <c r="R18" s="161"/>
      <c r="S18" s="161"/>
      <c r="T18" s="162" t="s">
        <v>204</v>
      </c>
      <c r="U18" s="161"/>
      <c r="V18" s="161"/>
      <c r="W18" s="161"/>
      <c r="X18" s="162" t="s">
        <v>205</v>
      </c>
      <c r="Y18" s="161"/>
      <c r="Z18" s="161"/>
      <c r="AA18" s="161"/>
      <c r="AB18" s="161" t="s">
        <v>206</v>
      </c>
      <c r="AC18" s="161"/>
      <c r="AD18" s="161"/>
      <c r="AE18" s="161"/>
      <c r="AF18" s="162" t="s">
        <v>207</v>
      </c>
      <c r="AG18" s="161"/>
      <c r="AH18" s="161"/>
      <c r="AI18" s="161"/>
      <c r="AJ18" s="162" t="s">
        <v>208</v>
      </c>
      <c r="AK18" s="161"/>
      <c r="AL18" s="161"/>
      <c r="AM18" s="161"/>
      <c r="AN18" s="162" t="s">
        <v>209</v>
      </c>
      <c r="AO18" s="161"/>
      <c r="AP18" s="161"/>
      <c r="AQ18" s="161"/>
      <c r="AR18" s="162" t="s">
        <v>210</v>
      </c>
      <c r="AS18" s="161"/>
      <c r="AT18" s="161"/>
      <c r="AU18" s="161"/>
      <c r="AV18" s="161"/>
    </row>
    <row r="19" spans="4:48">
      <c r="D19" s="237"/>
      <c r="E19" s="237"/>
      <c r="F19" s="236" t="s">
        <v>337</v>
      </c>
      <c r="G19" s="236"/>
      <c r="H19" s="236"/>
      <c r="I19" s="236"/>
      <c r="J19" s="236"/>
      <c r="K19" s="236"/>
      <c r="L19" s="236"/>
      <c r="M19" s="236"/>
      <c r="N19" s="236"/>
      <c r="O19" s="236"/>
      <c r="P19" s="238"/>
      <c r="Q19" s="238"/>
      <c r="R19" s="238"/>
      <c r="S19" s="238"/>
      <c r="T19" s="238"/>
      <c r="U19" s="238"/>
      <c r="V19" s="238"/>
      <c r="W19" s="238"/>
      <c r="X19" s="238"/>
      <c r="Y19" s="238"/>
      <c r="Z19" s="238"/>
      <c r="AA19" s="238"/>
      <c r="AB19" s="238"/>
      <c r="AC19" s="238"/>
      <c r="AD19" s="238"/>
      <c r="AE19" s="238"/>
      <c r="AF19" s="238"/>
      <c r="AG19" s="238"/>
      <c r="AH19" s="238"/>
      <c r="AI19" s="238"/>
      <c r="AJ19" s="238"/>
      <c r="AK19" s="238"/>
      <c r="AL19" s="238"/>
      <c r="AM19" s="238"/>
      <c r="AN19" s="238"/>
      <c r="AO19" s="238"/>
      <c r="AP19" s="238"/>
      <c r="AQ19" s="238"/>
      <c r="AR19" s="238"/>
      <c r="AS19" s="238"/>
      <c r="AT19" s="238"/>
      <c r="AU19" s="238"/>
      <c r="AV19" s="238"/>
    </row>
    <row r="20" spans="4:48">
      <c r="D20" s="172">
        <v>4021</v>
      </c>
      <c r="E20" s="172"/>
      <c r="F20" s="245" t="s">
        <v>338</v>
      </c>
      <c r="G20" s="245"/>
      <c r="H20" s="245"/>
      <c r="I20" s="245"/>
      <c r="J20" s="245"/>
      <c r="K20" s="245"/>
      <c r="L20" s="245"/>
      <c r="M20" s="245"/>
      <c r="N20" s="245"/>
      <c r="O20" s="245"/>
      <c r="P20" s="243"/>
      <c r="Q20" s="243"/>
      <c r="R20" s="243"/>
      <c r="S20" s="243"/>
      <c r="T20" s="243"/>
      <c r="U20" s="243"/>
      <c r="V20" s="243"/>
      <c r="W20" s="243"/>
      <c r="X20" s="243"/>
      <c r="Y20" s="243"/>
      <c r="Z20" s="243"/>
      <c r="AA20" s="243"/>
      <c r="AB20" s="243"/>
      <c r="AC20" s="243"/>
      <c r="AD20" s="243"/>
      <c r="AE20" s="243"/>
      <c r="AF20" s="243"/>
      <c r="AG20" s="243"/>
      <c r="AH20" s="243"/>
      <c r="AI20" s="243"/>
      <c r="AJ20" s="243"/>
      <c r="AK20" s="243"/>
      <c r="AL20" s="243"/>
      <c r="AM20" s="243"/>
      <c r="AN20" s="243"/>
      <c r="AO20" s="243"/>
      <c r="AP20" s="243"/>
      <c r="AQ20" s="243"/>
      <c r="AR20" s="243"/>
      <c r="AS20" s="243"/>
      <c r="AT20" s="243"/>
      <c r="AU20" s="243"/>
      <c r="AV20" s="243"/>
    </row>
    <row r="21" spans="4:48">
      <c r="D21" s="172">
        <v>4013</v>
      </c>
      <c r="E21" s="172"/>
      <c r="F21" s="245" t="s">
        <v>218</v>
      </c>
      <c r="G21" s="245"/>
      <c r="H21" s="245"/>
      <c r="I21" s="245"/>
      <c r="J21" s="245"/>
      <c r="K21" s="245"/>
      <c r="L21" s="245"/>
      <c r="M21" s="245"/>
      <c r="N21" s="245"/>
      <c r="O21" s="245"/>
      <c r="P21" s="243"/>
      <c r="Q21" s="243"/>
      <c r="R21" s="243"/>
      <c r="S21" s="243"/>
      <c r="T21" s="238"/>
      <c r="U21" s="238"/>
      <c r="V21" s="238"/>
      <c r="W21" s="238"/>
      <c r="X21" s="238"/>
      <c r="Y21" s="238"/>
      <c r="Z21" s="238"/>
      <c r="AA21" s="238"/>
      <c r="AB21" s="243"/>
      <c r="AC21" s="243"/>
      <c r="AD21" s="243"/>
      <c r="AE21" s="243"/>
      <c r="AF21" s="243"/>
      <c r="AG21" s="243"/>
      <c r="AH21" s="243"/>
      <c r="AI21" s="243"/>
      <c r="AJ21" s="243"/>
      <c r="AK21" s="243"/>
      <c r="AL21" s="243"/>
      <c r="AM21" s="243"/>
      <c r="AN21" s="243"/>
      <c r="AO21" s="243"/>
      <c r="AP21" s="243"/>
      <c r="AQ21" s="243"/>
      <c r="AR21" s="243"/>
      <c r="AS21" s="243"/>
      <c r="AT21" s="243"/>
      <c r="AU21" s="243"/>
      <c r="AV21" s="243"/>
    </row>
    <row r="22" spans="4:48">
      <c r="D22" s="172">
        <v>5020</v>
      </c>
      <c r="E22" s="172"/>
      <c r="F22" s="245" t="s">
        <v>339</v>
      </c>
      <c r="G22" s="245"/>
      <c r="H22" s="245"/>
      <c r="I22" s="245"/>
      <c r="J22" s="245"/>
      <c r="K22" s="245"/>
      <c r="L22" s="245"/>
      <c r="M22" s="245"/>
      <c r="N22" s="245"/>
      <c r="O22" s="245"/>
      <c r="P22" s="243"/>
      <c r="Q22" s="243"/>
      <c r="R22" s="243"/>
      <c r="S22" s="243"/>
      <c r="T22" s="238"/>
      <c r="U22" s="238"/>
      <c r="V22" s="238"/>
      <c r="W22" s="238"/>
      <c r="X22" s="238"/>
      <c r="Y22" s="238"/>
      <c r="Z22" s="238"/>
      <c r="AA22" s="238"/>
      <c r="AB22" s="243"/>
      <c r="AC22" s="243"/>
      <c r="AD22" s="243"/>
      <c r="AE22" s="243"/>
      <c r="AF22" s="238"/>
      <c r="AG22" s="238"/>
      <c r="AH22" s="238"/>
      <c r="AI22" s="238"/>
      <c r="AJ22" s="238"/>
      <c r="AK22" s="238"/>
      <c r="AL22" s="238"/>
      <c r="AM22" s="238"/>
      <c r="AN22" s="238"/>
      <c r="AO22" s="238"/>
      <c r="AP22" s="238"/>
      <c r="AQ22" s="238"/>
      <c r="AR22" s="243"/>
      <c r="AS22" s="243"/>
      <c r="AT22" s="243"/>
      <c r="AU22" s="243"/>
      <c r="AV22" s="243"/>
    </row>
    <row r="23" spans="4:48">
      <c r="D23" s="172">
        <v>4300</v>
      </c>
      <c r="E23" s="172"/>
      <c r="F23" s="245" t="s">
        <v>227</v>
      </c>
      <c r="G23" s="245"/>
      <c r="H23" s="245"/>
      <c r="I23" s="245"/>
      <c r="J23" s="245"/>
      <c r="K23" s="245"/>
      <c r="L23" s="245"/>
      <c r="M23" s="245"/>
      <c r="N23" s="245"/>
      <c r="O23" s="245"/>
      <c r="P23" s="243"/>
      <c r="Q23" s="243"/>
      <c r="R23" s="243"/>
      <c r="S23" s="243"/>
      <c r="T23" s="238"/>
      <c r="U23" s="238"/>
      <c r="V23" s="238"/>
      <c r="W23" s="238"/>
      <c r="X23" s="238"/>
      <c r="Y23" s="238"/>
      <c r="Z23" s="238"/>
      <c r="AA23" s="238"/>
      <c r="AB23" s="243"/>
      <c r="AC23" s="243"/>
      <c r="AD23" s="243"/>
      <c r="AE23" s="243"/>
      <c r="AF23" s="238"/>
      <c r="AG23" s="238"/>
      <c r="AH23" s="238"/>
      <c r="AI23" s="238"/>
      <c r="AJ23" s="238"/>
      <c r="AK23" s="238"/>
      <c r="AL23" s="238"/>
      <c r="AM23" s="238"/>
      <c r="AN23" s="238"/>
      <c r="AO23" s="238"/>
      <c r="AP23" s="238"/>
      <c r="AQ23" s="238"/>
      <c r="AR23" s="243"/>
      <c r="AS23" s="243"/>
      <c r="AT23" s="243"/>
      <c r="AU23" s="243"/>
      <c r="AV23" s="243"/>
    </row>
    <row r="24" spans="4:48">
      <c r="D24" s="172">
        <v>4199</v>
      </c>
      <c r="E24" s="172"/>
      <c r="F24" s="245" t="s">
        <v>228</v>
      </c>
      <c r="G24" s="245"/>
      <c r="H24" s="245"/>
      <c r="I24" s="245"/>
      <c r="J24" s="245"/>
      <c r="K24" s="245"/>
      <c r="L24" s="245"/>
      <c r="M24" s="245"/>
      <c r="N24" s="245"/>
      <c r="O24" s="245"/>
      <c r="P24" s="243"/>
      <c r="Q24" s="243"/>
      <c r="R24" s="243"/>
      <c r="S24" s="243"/>
      <c r="T24" s="243"/>
      <c r="U24" s="243"/>
      <c r="V24" s="243"/>
      <c r="W24" s="243"/>
      <c r="X24" s="243"/>
      <c r="Y24" s="243"/>
      <c r="Z24" s="243"/>
      <c r="AA24" s="243"/>
      <c r="AB24" s="243"/>
      <c r="AC24" s="243"/>
      <c r="AD24" s="243"/>
      <c r="AE24" s="243"/>
      <c r="AF24" s="243"/>
      <c r="AG24" s="243"/>
      <c r="AH24" s="243"/>
      <c r="AI24" s="243"/>
      <c r="AJ24" s="243"/>
      <c r="AK24" s="243"/>
      <c r="AL24" s="243"/>
      <c r="AM24" s="243"/>
      <c r="AN24" s="243"/>
      <c r="AO24" s="243"/>
      <c r="AP24" s="243"/>
      <c r="AQ24" s="243"/>
      <c r="AR24" s="243"/>
      <c r="AS24" s="243"/>
      <c r="AT24" s="243"/>
      <c r="AU24" s="243"/>
      <c r="AV24" s="243"/>
    </row>
    <row r="25" spans="4:48">
      <c r="D25" s="237"/>
      <c r="E25" s="237"/>
      <c r="F25" s="236" t="s">
        <v>229</v>
      </c>
      <c r="G25" s="236"/>
      <c r="H25" s="236"/>
      <c r="I25" s="236"/>
      <c r="J25" s="236"/>
      <c r="K25" s="236"/>
      <c r="L25" s="236"/>
      <c r="M25" s="236"/>
      <c r="N25" s="236"/>
      <c r="O25" s="236"/>
      <c r="P25" s="238"/>
      <c r="Q25" s="238"/>
      <c r="R25" s="238"/>
      <c r="S25" s="238"/>
      <c r="T25" s="238"/>
      <c r="U25" s="238"/>
      <c r="V25" s="238"/>
      <c r="W25" s="238"/>
      <c r="X25" s="238"/>
      <c r="Y25" s="238"/>
      <c r="Z25" s="238"/>
      <c r="AA25" s="238"/>
      <c r="AB25" s="238"/>
      <c r="AC25" s="238"/>
      <c r="AD25" s="238"/>
      <c r="AE25" s="238"/>
      <c r="AF25" s="238"/>
      <c r="AG25" s="238"/>
      <c r="AH25" s="238"/>
      <c r="AI25" s="238"/>
      <c r="AJ25" s="238"/>
      <c r="AK25" s="238"/>
      <c r="AL25" s="238"/>
      <c r="AM25" s="238"/>
      <c r="AN25" s="238"/>
      <c r="AO25" s="238"/>
      <c r="AP25" s="238"/>
      <c r="AQ25" s="238"/>
      <c r="AR25" s="238"/>
      <c r="AS25" s="238"/>
      <c r="AT25" s="238"/>
      <c r="AU25" s="238"/>
      <c r="AV25" s="238"/>
    </row>
    <row r="26" spans="4:48">
      <c r="D26" s="172">
        <v>5311</v>
      </c>
      <c r="E26" s="172"/>
      <c r="F26" s="74"/>
      <c r="G26" s="75" t="s">
        <v>230</v>
      </c>
      <c r="H26" s="75"/>
      <c r="I26" s="75"/>
      <c r="J26" s="75"/>
      <c r="K26" s="75"/>
      <c r="L26" s="75"/>
      <c r="M26" s="75"/>
      <c r="N26" s="75"/>
      <c r="O26" s="79"/>
      <c r="P26" s="243"/>
      <c r="Q26" s="243"/>
      <c r="R26" s="243"/>
      <c r="S26" s="243"/>
      <c r="T26" s="238"/>
      <c r="U26" s="238"/>
      <c r="V26" s="238"/>
      <c r="W26" s="238"/>
      <c r="X26" s="238"/>
      <c r="Y26" s="238"/>
      <c r="Z26" s="238"/>
      <c r="AA26" s="238"/>
      <c r="AB26" s="243"/>
      <c r="AC26" s="243"/>
      <c r="AD26" s="243"/>
      <c r="AE26" s="243"/>
      <c r="AF26" s="243"/>
      <c r="AG26" s="243"/>
      <c r="AH26" s="243"/>
      <c r="AI26" s="243"/>
      <c r="AJ26" s="243"/>
      <c r="AK26" s="243"/>
      <c r="AL26" s="243"/>
      <c r="AM26" s="243"/>
      <c r="AN26" s="243"/>
      <c r="AO26" s="243"/>
      <c r="AP26" s="243"/>
      <c r="AQ26" s="243"/>
      <c r="AR26" s="243"/>
      <c r="AS26" s="243"/>
      <c r="AT26" s="243"/>
      <c r="AU26" s="243"/>
      <c r="AV26" s="243"/>
    </row>
    <row r="27" spans="4:48">
      <c r="D27" s="172">
        <v>5312</v>
      </c>
      <c r="E27" s="172"/>
      <c r="F27" s="74"/>
      <c r="G27" s="75" t="s">
        <v>231</v>
      </c>
      <c r="H27" s="75"/>
      <c r="I27" s="75"/>
      <c r="J27" s="75"/>
      <c r="K27" s="75"/>
      <c r="L27" s="75"/>
      <c r="M27" s="75"/>
      <c r="N27" s="75"/>
      <c r="O27" s="79"/>
      <c r="P27" s="243"/>
      <c r="Q27" s="243"/>
      <c r="R27" s="243"/>
      <c r="S27" s="243"/>
      <c r="T27" s="238"/>
      <c r="U27" s="238"/>
      <c r="V27" s="238"/>
      <c r="W27" s="238"/>
      <c r="X27" s="238"/>
      <c r="Y27" s="238"/>
      <c r="Z27" s="238"/>
      <c r="AA27" s="238"/>
      <c r="AB27" s="243"/>
      <c r="AC27" s="243"/>
      <c r="AD27" s="243"/>
      <c r="AE27" s="243"/>
      <c r="AF27" s="243"/>
      <c r="AG27" s="243"/>
      <c r="AH27" s="243"/>
      <c r="AI27" s="243"/>
      <c r="AJ27" s="243"/>
      <c r="AK27" s="243"/>
      <c r="AL27" s="243"/>
      <c r="AM27" s="243"/>
      <c r="AN27" s="243"/>
      <c r="AO27" s="243"/>
      <c r="AP27" s="243"/>
      <c r="AQ27" s="243"/>
      <c r="AR27" s="243"/>
      <c r="AS27" s="243"/>
      <c r="AT27" s="243"/>
      <c r="AU27" s="243"/>
      <c r="AV27" s="243"/>
    </row>
    <row r="28" spans="4:48">
      <c r="D28" s="172">
        <v>5313</v>
      </c>
      <c r="E28" s="172"/>
      <c r="F28" s="74"/>
      <c r="G28" s="75" t="s">
        <v>232</v>
      </c>
      <c r="H28" s="75"/>
      <c r="I28" s="75"/>
      <c r="J28" s="75"/>
      <c r="K28" s="75"/>
      <c r="L28" s="75"/>
      <c r="M28" s="75"/>
      <c r="N28" s="75"/>
      <c r="O28" s="79"/>
      <c r="P28" s="243"/>
      <c r="Q28" s="243"/>
      <c r="R28" s="243"/>
      <c r="S28" s="243"/>
      <c r="T28" s="238"/>
      <c r="U28" s="238"/>
      <c r="V28" s="238"/>
      <c r="W28" s="238"/>
      <c r="X28" s="238"/>
      <c r="Y28" s="238"/>
      <c r="Z28" s="238"/>
      <c r="AA28" s="238"/>
      <c r="AB28" s="243"/>
      <c r="AC28" s="243"/>
      <c r="AD28" s="243"/>
      <c r="AE28" s="243"/>
      <c r="AF28" s="243"/>
      <c r="AG28" s="243"/>
      <c r="AH28" s="243"/>
      <c r="AI28" s="243"/>
      <c r="AJ28" s="243"/>
      <c r="AK28" s="243"/>
      <c r="AL28" s="243"/>
      <c r="AM28" s="243"/>
      <c r="AN28" s="243"/>
      <c r="AO28" s="243"/>
      <c r="AP28" s="243"/>
      <c r="AQ28" s="243"/>
      <c r="AR28" s="243"/>
      <c r="AS28" s="243"/>
      <c r="AT28" s="243"/>
      <c r="AU28" s="243"/>
      <c r="AV28" s="243"/>
    </row>
    <row r="29" spans="4:48">
      <c r="D29" s="172">
        <v>5314</v>
      </c>
      <c r="E29" s="172"/>
      <c r="F29" s="74"/>
      <c r="G29" s="75" t="s">
        <v>233</v>
      </c>
      <c r="H29" s="75"/>
      <c r="I29" s="75"/>
      <c r="J29" s="75"/>
      <c r="K29" s="75"/>
      <c r="L29" s="75"/>
      <c r="M29" s="75"/>
      <c r="N29" s="75"/>
      <c r="O29" s="79"/>
      <c r="P29" s="243"/>
      <c r="Q29" s="243"/>
      <c r="R29" s="243"/>
      <c r="S29" s="243"/>
      <c r="T29" s="238"/>
      <c r="U29" s="238"/>
      <c r="V29" s="238"/>
      <c r="W29" s="238"/>
      <c r="X29" s="238"/>
      <c r="Y29" s="238"/>
      <c r="Z29" s="238"/>
      <c r="AA29" s="238"/>
      <c r="AB29" s="243"/>
      <c r="AC29" s="243"/>
      <c r="AD29" s="243"/>
      <c r="AE29" s="243"/>
      <c r="AF29" s="243"/>
      <c r="AG29" s="243"/>
      <c r="AH29" s="243"/>
      <c r="AI29" s="243"/>
      <c r="AJ29" s="243"/>
      <c r="AK29" s="243"/>
      <c r="AL29" s="243"/>
      <c r="AM29" s="243"/>
      <c r="AN29" s="243"/>
      <c r="AO29" s="243"/>
      <c r="AP29" s="243"/>
      <c r="AQ29" s="243"/>
      <c r="AR29" s="243"/>
      <c r="AS29" s="243"/>
      <c r="AT29" s="243"/>
      <c r="AU29" s="243"/>
      <c r="AV29" s="243"/>
    </row>
    <row r="30" spans="4:48">
      <c r="D30" s="172">
        <v>4315</v>
      </c>
      <c r="E30" s="172"/>
      <c r="F30" s="74"/>
      <c r="G30" s="75" t="s">
        <v>234</v>
      </c>
      <c r="H30" s="75"/>
      <c r="I30" s="75"/>
      <c r="J30" s="75"/>
      <c r="K30" s="75"/>
      <c r="L30" s="75"/>
      <c r="M30" s="75"/>
      <c r="N30" s="75"/>
      <c r="O30" s="79"/>
      <c r="P30" s="243"/>
      <c r="Q30" s="243"/>
      <c r="R30" s="243"/>
      <c r="S30" s="243"/>
      <c r="T30" s="238"/>
      <c r="U30" s="238"/>
      <c r="V30" s="238"/>
      <c r="W30" s="238"/>
      <c r="X30" s="238"/>
      <c r="Y30" s="238"/>
      <c r="Z30" s="238"/>
      <c r="AA30" s="238"/>
      <c r="AB30" s="243"/>
      <c r="AC30" s="243"/>
      <c r="AD30" s="243"/>
      <c r="AE30" s="243"/>
      <c r="AF30" s="243"/>
      <c r="AG30" s="243"/>
      <c r="AH30" s="243"/>
      <c r="AI30" s="243"/>
      <c r="AJ30" s="243"/>
      <c r="AK30" s="243"/>
      <c r="AL30" s="243"/>
      <c r="AM30" s="243"/>
      <c r="AN30" s="243"/>
      <c r="AO30" s="243"/>
      <c r="AP30" s="243"/>
      <c r="AQ30" s="243"/>
      <c r="AR30" s="243"/>
      <c r="AS30" s="243"/>
      <c r="AT30" s="243"/>
      <c r="AU30" s="243"/>
      <c r="AV30" s="243"/>
    </row>
    <row r="31" spans="4:48">
      <c r="D31" s="172">
        <v>4316</v>
      </c>
      <c r="E31" s="172"/>
      <c r="F31" s="74"/>
      <c r="G31" s="75" t="s">
        <v>235</v>
      </c>
      <c r="H31" s="75"/>
      <c r="I31" s="75"/>
      <c r="J31" s="75"/>
      <c r="K31" s="75"/>
      <c r="L31" s="75"/>
      <c r="M31" s="75"/>
      <c r="N31" s="75"/>
      <c r="O31" s="79"/>
      <c r="P31" s="243"/>
      <c r="Q31" s="243"/>
      <c r="R31" s="243"/>
      <c r="S31" s="243"/>
      <c r="T31" s="238"/>
      <c r="U31" s="238"/>
      <c r="V31" s="238"/>
      <c r="W31" s="238"/>
      <c r="X31" s="238"/>
      <c r="Y31" s="238"/>
      <c r="Z31" s="238"/>
      <c r="AA31" s="238"/>
      <c r="AB31" s="243"/>
      <c r="AC31" s="243"/>
      <c r="AD31" s="243"/>
      <c r="AE31" s="243"/>
      <c r="AF31" s="243"/>
      <c r="AG31" s="243"/>
      <c r="AH31" s="243"/>
      <c r="AI31" s="243"/>
      <c r="AJ31" s="243"/>
      <c r="AK31" s="243"/>
      <c r="AL31" s="243"/>
      <c r="AM31" s="243"/>
      <c r="AN31" s="243"/>
      <c r="AO31" s="243"/>
      <c r="AP31" s="243"/>
      <c r="AQ31" s="243"/>
      <c r="AR31" s="243"/>
      <c r="AS31" s="243"/>
      <c r="AT31" s="243"/>
      <c r="AU31" s="243"/>
      <c r="AV31" s="243"/>
    </row>
    <row r="32" spans="4:48">
      <c r="D32" s="172">
        <v>4317</v>
      </c>
      <c r="E32" s="172"/>
      <c r="F32" s="74"/>
      <c r="G32" s="75" t="s">
        <v>236</v>
      </c>
      <c r="H32" s="75"/>
      <c r="I32" s="75"/>
      <c r="J32" s="75"/>
      <c r="K32" s="75"/>
      <c r="L32" s="75"/>
      <c r="M32" s="75"/>
      <c r="N32" s="75"/>
      <c r="O32" s="79"/>
      <c r="P32" s="243"/>
      <c r="Q32" s="243"/>
      <c r="R32" s="243"/>
      <c r="S32" s="243"/>
      <c r="T32" s="238"/>
      <c r="U32" s="238"/>
      <c r="V32" s="238"/>
      <c r="W32" s="238"/>
      <c r="X32" s="238"/>
      <c r="Y32" s="238"/>
      <c r="Z32" s="238"/>
      <c r="AA32" s="238"/>
      <c r="AB32" s="243"/>
      <c r="AC32" s="243"/>
      <c r="AD32" s="243"/>
      <c r="AE32" s="243"/>
      <c r="AF32" s="243"/>
      <c r="AG32" s="243"/>
      <c r="AH32" s="243"/>
      <c r="AI32" s="243"/>
      <c r="AJ32" s="243"/>
      <c r="AK32" s="243"/>
      <c r="AL32" s="243"/>
      <c r="AM32" s="243"/>
      <c r="AN32" s="243"/>
      <c r="AO32" s="243"/>
      <c r="AP32" s="243"/>
      <c r="AQ32" s="243"/>
      <c r="AR32" s="243"/>
      <c r="AS32" s="243"/>
      <c r="AT32" s="243"/>
      <c r="AU32" s="243"/>
      <c r="AV32" s="243"/>
    </row>
    <row r="33" spans="4:48">
      <c r="D33" s="172">
        <v>5318</v>
      </c>
      <c r="E33" s="172"/>
      <c r="F33" s="74"/>
      <c r="G33" s="75" t="s">
        <v>237</v>
      </c>
      <c r="H33" s="75"/>
      <c r="I33" s="75"/>
      <c r="J33" s="75"/>
      <c r="K33" s="75"/>
      <c r="L33" s="75"/>
      <c r="M33" s="75"/>
      <c r="N33" s="75"/>
      <c r="O33" s="79"/>
      <c r="P33" s="243"/>
      <c r="Q33" s="243"/>
      <c r="R33" s="243"/>
      <c r="S33" s="243"/>
      <c r="T33" s="238"/>
      <c r="U33" s="238"/>
      <c r="V33" s="238"/>
      <c r="W33" s="238"/>
      <c r="X33" s="238"/>
      <c r="Y33" s="238"/>
      <c r="Z33" s="238"/>
      <c r="AA33" s="238"/>
      <c r="AB33" s="243"/>
      <c r="AC33" s="243"/>
      <c r="AD33" s="243"/>
      <c r="AE33" s="243"/>
      <c r="AF33" s="243"/>
      <c r="AG33" s="243"/>
      <c r="AH33" s="243"/>
      <c r="AI33" s="243"/>
      <c r="AJ33" s="243"/>
      <c r="AK33" s="243"/>
      <c r="AL33" s="243"/>
      <c r="AM33" s="243"/>
      <c r="AN33" s="243"/>
      <c r="AO33" s="243"/>
      <c r="AP33" s="243"/>
      <c r="AQ33" s="243"/>
      <c r="AR33" s="243"/>
      <c r="AS33" s="243"/>
      <c r="AT33" s="243"/>
      <c r="AU33" s="243"/>
      <c r="AV33" s="243"/>
    </row>
    <row r="34" spans="4:48">
      <c r="D34" s="172">
        <v>5319</v>
      </c>
      <c r="E34" s="172"/>
      <c r="F34" s="74"/>
      <c r="G34" s="75" t="s">
        <v>238</v>
      </c>
      <c r="H34" s="75"/>
      <c r="I34" s="75"/>
      <c r="J34" s="75"/>
      <c r="K34" s="75"/>
      <c r="L34" s="75"/>
      <c r="M34" s="75"/>
      <c r="N34" s="75"/>
      <c r="O34" s="79"/>
      <c r="P34" s="243"/>
      <c r="Q34" s="243"/>
      <c r="R34" s="243"/>
      <c r="S34" s="243"/>
      <c r="T34" s="238"/>
      <c r="U34" s="238"/>
      <c r="V34" s="238"/>
      <c r="W34" s="238"/>
      <c r="X34" s="238"/>
      <c r="Y34" s="238"/>
      <c r="Z34" s="238"/>
      <c r="AA34" s="238"/>
      <c r="AB34" s="243"/>
      <c r="AC34" s="243"/>
      <c r="AD34" s="243"/>
      <c r="AE34" s="243"/>
      <c r="AF34" s="243"/>
      <c r="AG34" s="243"/>
      <c r="AH34" s="243"/>
      <c r="AI34" s="243"/>
      <c r="AJ34" s="243"/>
      <c r="AK34" s="243"/>
      <c r="AL34" s="243"/>
      <c r="AM34" s="243"/>
      <c r="AN34" s="243"/>
      <c r="AO34" s="243"/>
      <c r="AP34" s="243"/>
      <c r="AQ34" s="243"/>
      <c r="AR34" s="243"/>
      <c r="AS34" s="243"/>
      <c r="AT34" s="243"/>
      <c r="AU34" s="243"/>
      <c r="AV34" s="243"/>
    </row>
    <row r="35" spans="4:48">
      <c r="D35" s="172">
        <v>5320</v>
      </c>
      <c r="E35" s="172"/>
      <c r="F35" s="74"/>
      <c r="G35" s="75" t="s">
        <v>239</v>
      </c>
      <c r="H35" s="75"/>
      <c r="I35" s="75"/>
      <c r="J35" s="75"/>
      <c r="K35" s="75"/>
      <c r="L35" s="75"/>
      <c r="M35" s="75"/>
      <c r="N35" s="75"/>
      <c r="O35" s="79"/>
      <c r="P35" s="243"/>
      <c r="Q35" s="243"/>
      <c r="R35" s="243"/>
      <c r="S35" s="243"/>
      <c r="T35" s="238"/>
      <c r="U35" s="238"/>
      <c r="V35" s="238"/>
      <c r="W35" s="238"/>
      <c r="X35" s="238"/>
      <c r="Y35" s="238"/>
      <c r="Z35" s="238"/>
      <c r="AA35" s="238"/>
      <c r="AB35" s="243"/>
      <c r="AC35" s="243"/>
      <c r="AD35" s="243"/>
      <c r="AE35" s="243"/>
      <c r="AF35" s="243"/>
      <c r="AG35" s="243"/>
      <c r="AH35" s="243"/>
      <c r="AI35" s="243"/>
      <c r="AJ35" s="243"/>
      <c r="AK35" s="243"/>
      <c r="AL35" s="243"/>
      <c r="AM35" s="243"/>
      <c r="AN35" s="243"/>
      <c r="AO35" s="243"/>
      <c r="AP35" s="243"/>
      <c r="AQ35" s="243"/>
      <c r="AR35" s="243"/>
      <c r="AS35" s="243"/>
      <c r="AT35" s="243"/>
      <c r="AU35" s="243"/>
      <c r="AV35" s="243"/>
    </row>
    <row r="36" spans="4:48">
      <c r="D36" s="172">
        <v>5321</v>
      </c>
      <c r="E36" s="172"/>
      <c r="F36" s="74"/>
      <c r="G36" s="75" t="s">
        <v>240</v>
      </c>
      <c r="H36" s="75"/>
      <c r="I36" s="75"/>
      <c r="J36" s="75"/>
      <c r="K36" s="75"/>
      <c r="L36" s="75"/>
      <c r="M36" s="75"/>
      <c r="N36" s="75"/>
      <c r="O36" s="79"/>
      <c r="P36" s="243"/>
      <c r="Q36" s="243"/>
      <c r="R36" s="243"/>
      <c r="S36" s="243"/>
      <c r="T36" s="238"/>
      <c r="U36" s="238"/>
      <c r="V36" s="238"/>
      <c r="W36" s="238"/>
      <c r="X36" s="238"/>
      <c r="Y36" s="238"/>
      <c r="Z36" s="238"/>
      <c r="AA36" s="238"/>
      <c r="AB36" s="243"/>
      <c r="AC36" s="243"/>
      <c r="AD36" s="243"/>
      <c r="AE36" s="243"/>
      <c r="AF36" s="243"/>
      <c r="AG36" s="243"/>
      <c r="AH36" s="243"/>
      <c r="AI36" s="243"/>
      <c r="AJ36" s="243"/>
      <c r="AK36" s="243"/>
      <c r="AL36" s="243"/>
      <c r="AM36" s="243"/>
      <c r="AN36" s="243"/>
      <c r="AO36" s="243"/>
      <c r="AP36" s="243"/>
      <c r="AQ36" s="243"/>
      <c r="AR36" s="243"/>
      <c r="AS36" s="243"/>
      <c r="AT36" s="243"/>
      <c r="AU36" s="243"/>
      <c r="AV36" s="243"/>
    </row>
    <row r="37" spans="4:48">
      <c r="D37" s="172">
        <v>5322</v>
      </c>
      <c r="E37" s="172"/>
      <c r="F37" s="74"/>
      <c r="G37" s="75" t="s">
        <v>241</v>
      </c>
      <c r="H37" s="75"/>
      <c r="I37" s="75"/>
      <c r="J37" s="75"/>
      <c r="K37" s="75"/>
      <c r="L37" s="75"/>
      <c r="M37" s="75"/>
      <c r="N37" s="75"/>
      <c r="O37" s="79"/>
      <c r="P37" s="243"/>
      <c r="Q37" s="243"/>
      <c r="R37" s="243"/>
      <c r="S37" s="243"/>
      <c r="T37" s="238"/>
      <c r="U37" s="238"/>
      <c r="V37" s="238"/>
      <c r="W37" s="238"/>
      <c r="X37" s="238"/>
      <c r="Y37" s="238"/>
      <c r="Z37" s="238"/>
      <c r="AA37" s="238"/>
      <c r="AB37" s="243"/>
      <c r="AC37" s="243"/>
      <c r="AD37" s="243"/>
      <c r="AE37" s="243"/>
      <c r="AF37" s="243"/>
      <c r="AG37" s="243"/>
      <c r="AH37" s="243"/>
      <c r="AI37" s="243"/>
      <c r="AJ37" s="243"/>
      <c r="AK37" s="243"/>
      <c r="AL37" s="243"/>
      <c r="AM37" s="243"/>
      <c r="AN37" s="243"/>
      <c r="AO37" s="243"/>
      <c r="AP37" s="243"/>
      <c r="AQ37" s="243"/>
      <c r="AR37" s="243"/>
      <c r="AS37" s="243"/>
      <c r="AT37" s="243"/>
      <c r="AU37" s="243"/>
      <c r="AV37" s="243"/>
    </row>
    <row r="38" spans="4:48">
      <c r="D38" s="172">
        <v>5399</v>
      </c>
      <c r="E38" s="172"/>
      <c r="F38" s="74"/>
      <c r="G38" s="75" t="s">
        <v>242</v>
      </c>
      <c r="H38" s="75"/>
      <c r="I38" s="75"/>
      <c r="J38" s="75"/>
      <c r="K38" s="75"/>
      <c r="L38" s="75"/>
      <c r="M38" s="75"/>
      <c r="N38" s="75"/>
      <c r="O38" s="79"/>
      <c r="P38" s="243"/>
      <c r="Q38" s="243"/>
      <c r="R38" s="243"/>
      <c r="S38" s="243"/>
      <c r="T38" s="238"/>
      <c r="U38" s="238"/>
      <c r="V38" s="238"/>
      <c r="W38" s="238"/>
      <c r="X38" s="238"/>
      <c r="Y38" s="238"/>
      <c r="Z38" s="238"/>
      <c r="AA38" s="238"/>
      <c r="AB38" s="243"/>
      <c r="AC38" s="243"/>
      <c r="AD38" s="243"/>
      <c r="AE38" s="243"/>
      <c r="AF38" s="243"/>
      <c r="AG38" s="243"/>
      <c r="AH38" s="243"/>
      <c r="AI38" s="243"/>
      <c r="AJ38" s="243"/>
      <c r="AK38" s="243"/>
      <c r="AL38" s="243"/>
      <c r="AM38" s="243"/>
      <c r="AN38" s="243"/>
      <c r="AO38" s="243"/>
      <c r="AP38" s="243"/>
      <c r="AQ38" s="243"/>
      <c r="AR38" s="243"/>
      <c r="AS38" s="243"/>
      <c r="AT38" s="243"/>
      <c r="AU38" s="243"/>
      <c r="AV38" s="243"/>
    </row>
    <row r="39" spans="4:48">
      <c r="D39" s="172">
        <v>5400</v>
      </c>
      <c r="E39" s="172"/>
      <c r="F39" s="74"/>
      <c r="G39" s="75" t="s">
        <v>243</v>
      </c>
      <c r="H39" s="75"/>
      <c r="I39" s="75"/>
      <c r="J39" s="75"/>
      <c r="K39" s="75"/>
      <c r="L39" s="75"/>
      <c r="M39" s="75"/>
      <c r="N39" s="75"/>
      <c r="O39" s="79"/>
      <c r="P39" s="243"/>
      <c r="Q39" s="243"/>
      <c r="R39" s="243"/>
      <c r="S39" s="243"/>
      <c r="T39" s="238"/>
      <c r="U39" s="238"/>
      <c r="V39" s="238"/>
      <c r="W39" s="238"/>
      <c r="X39" s="238"/>
      <c r="Y39" s="238"/>
      <c r="Z39" s="238"/>
      <c r="AA39" s="238"/>
      <c r="AB39" s="243"/>
      <c r="AC39" s="243"/>
      <c r="AD39" s="243"/>
      <c r="AE39" s="243"/>
      <c r="AF39" s="238"/>
      <c r="AG39" s="238"/>
      <c r="AH39" s="238"/>
      <c r="AI39" s="238"/>
      <c r="AJ39" s="238"/>
      <c r="AK39" s="238"/>
      <c r="AL39" s="238"/>
      <c r="AM39" s="238"/>
      <c r="AN39" s="238"/>
      <c r="AO39" s="238"/>
      <c r="AP39" s="238"/>
      <c r="AQ39" s="238"/>
      <c r="AR39" s="243"/>
      <c r="AS39" s="243"/>
      <c r="AT39" s="243"/>
      <c r="AU39" s="243"/>
      <c r="AV39" s="243"/>
    </row>
    <row r="40" spans="4:48">
      <c r="D40" s="172">
        <v>4500</v>
      </c>
      <c r="E40" s="172"/>
      <c r="F40" s="74" t="s">
        <v>244</v>
      </c>
      <c r="G40" s="75"/>
      <c r="H40" s="75"/>
      <c r="I40" s="75"/>
      <c r="J40" s="75"/>
      <c r="K40" s="75"/>
      <c r="L40" s="75"/>
      <c r="M40" s="75"/>
      <c r="N40" s="75"/>
      <c r="O40" s="79"/>
      <c r="P40" s="243"/>
      <c r="Q40" s="243"/>
      <c r="R40" s="243"/>
      <c r="S40" s="243"/>
      <c r="T40" s="238"/>
      <c r="U40" s="238"/>
      <c r="V40" s="238"/>
      <c r="W40" s="238"/>
      <c r="X40" s="238"/>
      <c r="Y40" s="238"/>
      <c r="Z40" s="238"/>
      <c r="AA40" s="238"/>
      <c r="AB40" s="243"/>
      <c r="AC40" s="243"/>
      <c r="AD40" s="243"/>
      <c r="AE40" s="243"/>
      <c r="AF40" s="238"/>
      <c r="AG40" s="238"/>
      <c r="AH40" s="238"/>
      <c r="AI40" s="238"/>
      <c r="AJ40" s="238"/>
      <c r="AK40" s="238"/>
      <c r="AL40" s="238"/>
      <c r="AM40" s="238"/>
      <c r="AN40" s="238"/>
      <c r="AO40" s="238"/>
      <c r="AP40" s="238"/>
      <c r="AQ40" s="238"/>
      <c r="AR40" s="243"/>
      <c r="AS40" s="243"/>
      <c r="AT40" s="243"/>
      <c r="AU40" s="243"/>
      <c r="AV40" s="243"/>
    </row>
    <row r="41" spans="4:48">
      <c r="D41" s="237"/>
      <c r="E41" s="237"/>
      <c r="F41" s="76" t="s">
        <v>245</v>
      </c>
      <c r="G41" s="75"/>
      <c r="H41" s="75"/>
      <c r="I41" s="75"/>
      <c r="J41" s="75"/>
      <c r="K41" s="75"/>
      <c r="L41" s="75"/>
      <c r="M41" s="75"/>
      <c r="N41" s="75"/>
      <c r="O41" s="79"/>
      <c r="P41" s="238"/>
      <c r="Q41" s="238"/>
      <c r="R41" s="238"/>
      <c r="S41" s="238"/>
      <c r="T41" s="238"/>
      <c r="U41" s="238"/>
      <c r="V41" s="238"/>
      <c r="W41" s="238"/>
      <c r="X41" s="238"/>
      <c r="Y41" s="238"/>
      <c r="Z41" s="238"/>
      <c r="AA41" s="238"/>
      <c r="AB41" s="238"/>
      <c r="AC41" s="238"/>
      <c r="AD41" s="238"/>
      <c r="AE41" s="238"/>
      <c r="AF41" s="238"/>
      <c r="AG41" s="238"/>
      <c r="AH41" s="238"/>
      <c r="AI41" s="238"/>
      <c r="AJ41" s="238"/>
      <c r="AK41" s="238"/>
      <c r="AL41" s="238"/>
      <c r="AM41" s="238"/>
      <c r="AN41" s="238"/>
      <c r="AO41" s="238"/>
      <c r="AP41" s="238"/>
      <c r="AQ41" s="238"/>
      <c r="AR41" s="238"/>
      <c r="AS41" s="238"/>
      <c r="AT41" s="238"/>
      <c r="AU41" s="238"/>
      <c r="AV41" s="238"/>
    </row>
    <row r="42" spans="4:48">
      <c r="D42" s="172">
        <v>4501</v>
      </c>
      <c r="E42" s="172"/>
      <c r="F42" s="74" t="s">
        <v>246</v>
      </c>
      <c r="G42" s="75"/>
      <c r="H42" s="75"/>
      <c r="I42" s="75"/>
      <c r="J42" s="75"/>
      <c r="K42" s="75"/>
      <c r="L42" s="75"/>
      <c r="M42" s="75"/>
      <c r="N42" s="75"/>
      <c r="O42" s="79"/>
      <c r="P42" s="243"/>
      <c r="Q42" s="243"/>
      <c r="R42" s="243"/>
      <c r="S42" s="243"/>
      <c r="T42" s="244"/>
      <c r="U42" s="244"/>
      <c r="V42" s="244"/>
      <c r="W42" s="244"/>
      <c r="X42" s="244"/>
      <c r="Y42" s="244"/>
      <c r="Z42" s="244"/>
      <c r="AA42" s="244"/>
      <c r="AB42" s="244"/>
      <c r="AC42" s="244"/>
      <c r="AD42" s="244"/>
      <c r="AE42" s="244"/>
      <c r="AF42" s="244"/>
      <c r="AG42" s="244"/>
      <c r="AH42" s="244"/>
      <c r="AI42" s="244"/>
      <c r="AJ42" s="244"/>
      <c r="AK42" s="244"/>
      <c r="AL42" s="244"/>
      <c r="AM42" s="244"/>
      <c r="AN42" s="244"/>
      <c r="AO42" s="244"/>
      <c r="AP42" s="244"/>
      <c r="AQ42" s="244"/>
      <c r="AR42" s="243"/>
      <c r="AS42" s="243"/>
      <c r="AT42" s="243"/>
      <c r="AU42" s="243"/>
      <c r="AV42" s="243"/>
    </row>
    <row r="43" spans="4:48">
      <c r="D43" s="172">
        <v>4503</v>
      </c>
      <c r="E43" s="172"/>
      <c r="F43" s="74" t="s">
        <v>247</v>
      </c>
      <c r="G43" s="75"/>
      <c r="H43" s="75"/>
      <c r="I43" s="75"/>
      <c r="J43" s="75"/>
      <c r="K43" s="75"/>
      <c r="L43" s="75"/>
      <c r="M43" s="75"/>
      <c r="N43" s="75"/>
      <c r="O43" s="79"/>
      <c r="P43" s="243"/>
      <c r="Q43" s="243"/>
      <c r="R43" s="243"/>
      <c r="S43" s="243"/>
      <c r="T43" s="244"/>
      <c r="U43" s="244"/>
      <c r="V43" s="244"/>
      <c r="W43" s="244"/>
      <c r="X43" s="244"/>
      <c r="Y43" s="244"/>
      <c r="Z43" s="244"/>
      <c r="AA43" s="244"/>
      <c r="AB43" s="244"/>
      <c r="AC43" s="244"/>
      <c r="AD43" s="244"/>
      <c r="AE43" s="244"/>
      <c r="AF43" s="244"/>
      <c r="AG43" s="244"/>
      <c r="AH43" s="244"/>
      <c r="AI43" s="244"/>
      <c r="AJ43" s="244"/>
      <c r="AK43" s="244"/>
      <c r="AL43" s="244"/>
      <c r="AM43" s="244"/>
      <c r="AN43" s="244"/>
      <c r="AO43" s="244"/>
      <c r="AP43" s="244"/>
      <c r="AQ43" s="244"/>
      <c r="AR43" s="243"/>
      <c r="AS43" s="243"/>
      <c r="AT43" s="243"/>
      <c r="AU43" s="243"/>
      <c r="AV43" s="243"/>
    </row>
    <row r="44" spans="4:48">
      <c r="D44" s="172">
        <v>4511</v>
      </c>
      <c r="E44" s="172"/>
      <c r="F44" s="74" t="s">
        <v>248</v>
      </c>
      <c r="G44" s="75"/>
      <c r="H44" s="75"/>
      <c r="I44" s="75"/>
      <c r="J44" s="75"/>
      <c r="K44" s="75"/>
      <c r="L44" s="75"/>
      <c r="M44" s="75"/>
      <c r="N44" s="75"/>
      <c r="O44" s="79"/>
      <c r="P44" s="243"/>
      <c r="Q44" s="243"/>
      <c r="R44" s="243"/>
      <c r="S44" s="243"/>
      <c r="T44" s="244"/>
      <c r="U44" s="244"/>
      <c r="V44" s="244"/>
      <c r="W44" s="244"/>
      <c r="X44" s="244"/>
      <c r="Y44" s="244"/>
      <c r="Z44" s="244"/>
      <c r="AA44" s="244"/>
      <c r="AB44" s="244"/>
      <c r="AC44" s="244"/>
      <c r="AD44" s="244"/>
      <c r="AE44" s="244"/>
      <c r="AF44" s="244"/>
      <c r="AG44" s="244"/>
      <c r="AH44" s="244"/>
      <c r="AI44" s="244"/>
      <c r="AJ44" s="244"/>
      <c r="AK44" s="244"/>
      <c r="AL44" s="244"/>
      <c r="AM44" s="244"/>
      <c r="AN44" s="244"/>
      <c r="AO44" s="244"/>
      <c r="AP44" s="244"/>
      <c r="AQ44" s="244"/>
      <c r="AR44" s="243"/>
      <c r="AS44" s="243"/>
      <c r="AT44" s="243"/>
      <c r="AU44" s="243"/>
      <c r="AV44" s="243"/>
    </row>
    <row r="45" spans="4:48">
      <c r="D45" s="172">
        <v>4599</v>
      </c>
      <c r="E45" s="172"/>
      <c r="F45" s="74" t="s">
        <v>249</v>
      </c>
      <c r="G45" s="75"/>
      <c r="H45" s="75"/>
      <c r="I45" s="75"/>
      <c r="J45" s="75"/>
      <c r="K45" s="75"/>
      <c r="L45" s="75"/>
      <c r="M45" s="75"/>
      <c r="N45" s="75"/>
      <c r="O45" s="79"/>
      <c r="P45" s="243"/>
      <c r="Q45" s="243"/>
      <c r="R45" s="243"/>
      <c r="S45" s="243"/>
      <c r="T45" s="244"/>
      <c r="U45" s="244"/>
      <c r="V45" s="244"/>
      <c r="W45" s="244"/>
      <c r="X45" s="244"/>
      <c r="Y45" s="244"/>
      <c r="Z45" s="244"/>
      <c r="AA45" s="244"/>
      <c r="AB45" s="244"/>
      <c r="AC45" s="244"/>
      <c r="AD45" s="244"/>
      <c r="AE45" s="244"/>
      <c r="AF45" s="244"/>
      <c r="AG45" s="244"/>
      <c r="AH45" s="244"/>
      <c r="AI45" s="244"/>
      <c r="AJ45" s="244"/>
      <c r="AK45" s="244"/>
      <c r="AL45" s="244"/>
      <c r="AM45" s="244"/>
      <c r="AN45" s="244"/>
      <c r="AO45" s="244"/>
      <c r="AP45" s="244"/>
      <c r="AQ45" s="244"/>
      <c r="AR45" s="243"/>
      <c r="AS45" s="243"/>
      <c r="AT45" s="243"/>
      <c r="AU45" s="243"/>
      <c r="AV45" s="243"/>
    </row>
    <row r="46" spans="4:48">
      <c r="D46" s="172">
        <v>4600</v>
      </c>
      <c r="E46" s="172"/>
      <c r="F46" s="74" t="s">
        <v>250</v>
      </c>
      <c r="G46" s="75"/>
      <c r="H46" s="75"/>
      <c r="I46" s="75"/>
      <c r="J46" s="75"/>
      <c r="K46" s="75"/>
      <c r="L46" s="75"/>
      <c r="M46" s="75"/>
      <c r="N46" s="75"/>
      <c r="O46" s="79"/>
      <c r="P46" s="243"/>
      <c r="Q46" s="243"/>
      <c r="R46" s="243"/>
      <c r="S46" s="243"/>
      <c r="T46" s="238"/>
      <c r="U46" s="238"/>
      <c r="V46" s="238"/>
      <c r="W46" s="238"/>
      <c r="X46" s="238"/>
      <c r="Y46" s="238"/>
      <c r="Z46" s="238"/>
      <c r="AA46" s="238"/>
      <c r="AB46" s="244"/>
      <c r="AC46" s="244"/>
      <c r="AD46" s="244"/>
      <c r="AE46" s="244"/>
      <c r="AF46" s="238"/>
      <c r="AG46" s="238"/>
      <c r="AH46" s="238"/>
      <c r="AI46" s="238"/>
      <c r="AJ46" s="238"/>
      <c r="AK46" s="238"/>
      <c r="AL46" s="238"/>
      <c r="AM46" s="238"/>
      <c r="AN46" s="238"/>
      <c r="AO46" s="238"/>
      <c r="AP46" s="238"/>
      <c r="AQ46" s="238"/>
      <c r="AR46" s="243"/>
      <c r="AS46" s="243"/>
      <c r="AT46" s="243"/>
      <c r="AU46" s="243"/>
      <c r="AV46" s="243"/>
    </row>
    <row r="47" spans="4:48">
      <c r="D47" s="237"/>
      <c r="E47" s="237"/>
      <c r="F47" s="76" t="s">
        <v>251</v>
      </c>
      <c r="G47" s="75"/>
      <c r="H47" s="75"/>
      <c r="I47" s="75"/>
      <c r="J47" s="75"/>
      <c r="K47" s="75"/>
      <c r="L47" s="75"/>
      <c r="M47" s="75"/>
      <c r="N47" s="75"/>
      <c r="O47" s="79"/>
      <c r="P47" s="238"/>
      <c r="Q47" s="238"/>
      <c r="R47" s="238"/>
      <c r="S47" s="238"/>
      <c r="T47" s="238"/>
      <c r="U47" s="238"/>
      <c r="V47" s="238"/>
      <c r="W47" s="238"/>
      <c r="X47" s="238"/>
      <c r="Y47" s="238"/>
      <c r="Z47" s="238"/>
      <c r="AA47" s="238"/>
      <c r="AB47" s="238"/>
      <c r="AC47" s="238"/>
      <c r="AD47" s="238"/>
      <c r="AE47" s="238"/>
      <c r="AF47" s="238"/>
      <c r="AG47" s="238"/>
      <c r="AH47" s="238"/>
      <c r="AI47" s="238"/>
      <c r="AJ47" s="238"/>
      <c r="AK47" s="238"/>
      <c r="AL47" s="238"/>
      <c r="AM47" s="238"/>
      <c r="AN47" s="238"/>
      <c r="AO47" s="238"/>
      <c r="AP47" s="238"/>
      <c r="AQ47" s="238"/>
      <c r="AR47" s="238"/>
      <c r="AS47" s="238"/>
      <c r="AT47" s="238"/>
      <c r="AU47" s="238"/>
      <c r="AV47" s="238"/>
    </row>
    <row r="48" spans="4:48">
      <c r="D48" s="172">
        <v>5405</v>
      </c>
      <c r="E48" s="172"/>
      <c r="F48" s="74"/>
      <c r="G48" s="75" t="s">
        <v>252</v>
      </c>
      <c r="H48" s="75"/>
      <c r="I48" s="75"/>
      <c r="J48" s="75"/>
      <c r="K48" s="75"/>
      <c r="L48" s="75"/>
      <c r="M48" s="75"/>
      <c r="N48" s="75"/>
      <c r="O48" s="79"/>
      <c r="P48" s="243"/>
      <c r="Q48" s="243"/>
      <c r="R48" s="243"/>
      <c r="S48" s="243"/>
      <c r="T48" s="238"/>
      <c r="U48" s="238"/>
      <c r="V48" s="238"/>
      <c r="W48" s="238"/>
      <c r="X48" s="238"/>
      <c r="Y48" s="238"/>
      <c r="Z48" s="238"/>
      <c r="AA48" s="238"/>
      <c r="AB48" s="244"/>
      <c r="AC48" s="244"/>
      <c r="AD48" s="244"/>
      <c r="AE48" s="244"/>
      <c r="AF48" s="244"/>
      <c r="AG48" s="244"/>
      <c r="AH48" s="244"/>
      <c r="AI48" s="244"/>
      <c r="AJ48" s="244"/>
      <c r="AK48" s="244"/>
      <c r="AL48" s="244"/>
      <c r="AM48" s="244"/>
      <c r="AN48" s="244"/>
      <c r="AO48" s="244"/>
      <c r="AP48" s="244"/>
      <c r="AQ48" s="244"/>
      <c r="AR48" s="243"/>
      <c r="AS48" s="243"/>
      <c r="AT48" s="243"/>
      <c r="AU48" s="243"/>
      <c r="AV48" s="243"/>
    </row>
    <row r="49" spans="4:48">
      <c r="D49" s="172">
        <v>5409</v>
      </c>
      <c r="E49" s="172"/>
      <c r="F49" s="74"/>
      <c r="G49" s="75" t="s">
        <v>253</v>
      </c>
      <c r="H49" s="75"/>
      <c r="I49" s="75"/>
      <c r="J49" s="75"/>
      <c r="K49" s="75"/>
      <c r="L49" s="75"/>
      <c r="M49" s="75"/>
      <c r="N49" s="75"/>
      <c r="O49" s="79"/>
      <c r="P49" s="243"/>
      <c r="Q49" s="243"/>
      <c r="R49" s="243"/>
      <c r="S49" s="243"/>
      <c r="T49" s="238"/>
      <c r="U49" s="238"/>
      <c r="V49" s="238"/>
      <c r="W49" s="238"/>
      <c r="X49" s="238"/>
      <c r="Y49" s="238"/>
      <c r="Z49" s="238"/>
      <c r="AA49" s="238"/>
      <c r="AB49" s="244"/>
      <c r="AC49" s="244"/>
      <c r="AD49" s="244"/>
      <c r="AE49" s="244"/>
      <c r="AF49" s="244"/>
      <c r="AG49" s="244"/>
      <c r="AH49" s="244"/>
      <c r="AI49" s="244"/>
      <c r="AJ49" s="244"/>
      <c r="AK49" s="244"/>
      <c r="AL49" s="244"/>
      <c r="AM49" s="244"/>
      <c r="AN49" s="244"/>
      <c r="AO49" s="244"/>
      <c r="AP49" s="244"/>
      <c r="AQ49" s="244"/>
      <c r="AR49" s="243"/>
      <c r="AS49" s="243"/>
      <c r="AT49" s="243"/>
      <c r="AU49" s="243"/>
      <c r="AV49" s="243"/>
    </row>
    <row r="50" spans="4:48">
      <c r="D50" s="172">
        <v>5421</v>
      </c>
      <c r="E50" s="172"/>
      <c r="F50" s="74"/>
      <c r="G50" s="75" t="s">
        <v>254</v>
      </c>
      <c r="H50" s="75"/>
      <c r="I50" s="75"/>
      <c r="J50" s="75"/>
      <c r="K50" s="75"/>
      <c r="L50" s="75"/>
      <c r="M50" s="75"/>
      <c r="N50" s="75"/>
      <c r="O50" s="79"/>
      <c r="P50" s="243"/>
      <c r="Q50" s="243"/>
      <c r="R50" s="243"/>
      <c r="S50" s="243"/>
      <c r="T50" s="238"/>
      <c r="U50" s="238"/>
      <c r="V50" s="238"/>
      <c r="W50" s="238"/>
      <c r="X50" s="238"/>
      <c r="Y50" s="238"/>
      <c r="Z50" s="238"/>
      <c r="AA50" s="238"/>
      <c r="AB50" s="244"/>
      <c r="AC50" s="244"/>
      <c r="AD50" s="244"/>
      <c r="AE50" s="244"/>
      <c r="AF50" s="244"/>
      <c r="AG50" s="244"/>
      <c r="AH50" s="244"/>
      <c r="AI50" s="244"/>
      <c r="AJ50" s="244"/>
      <c r="AK50" s="244"/>
      <c r="AL50" s="244"/>
      <c r="AM50" s="244"/>
      <c r="AN50" s="244"/>
      <c r="AO50" s="244"/>
      <c r="AP50" s="244"/>
      <c r="AQ50" s="244"/>
      <c r="AR50" s="243"/>
      <c r="AS50" s="243"/>
      <c r="AT50" s="243"/>
      <c r="AU50" s="243"/>
      <c r="AV50" s="243"/>
    </row>
    <row r="51" spans="4:48">
      <c r="D51" s="172">
        <v>5499</v>
      </c>
      <c r="E51" s="172"/>
      <c r="F51" s="74"/>
      <c r="G51" s="75" t="s">
        <v>255</v>
      </c>
      <c r="H51" s="75"/>
      <c r="I51" s="75"/>
      <c r="J51" s="75"/>
      <c r="K51" s="75"/>
      <c r="L51" s="75"/>
      <c r="M51" s="75"/>
      <c r="N51" s="75"/>
      <c r="O51" s="79"/>
      <c r="P51" s="243"/>
      <c r="Q51" s="243"/>
      <c r="R51" s="243"/>
      <c r="S51" s="243"/>
      <c r="T51" s="238"/>
      <c r="U51" s="238"/>
      <c r="V51" s="238"/>
      <c r="W51" s="238"/>
      <c r="X51" s="238"/>
      <c r="Y51" s="238"/>
      <c r="Z51" s="238"/>
      <c r="AA51" s="238"/>
      <c r="AB51" s="244"/>
      <c r="AC51" s="244"/>
      <c r="AD51" s="244"/>
      <c r="AE51" s="244"/>
      <c r="AF51" s="244"/>
      <c r="AG51" s="244"/>
      <c r="AH51" s="244"/>
      <c r="AI51" s="244"/>
      <c r="AJ51" s="244"/>
      <c r="AK51" s="244"/>
      <c r="AL51" s="244"/>
      <c r="AM51" s="244"/>
      <c r="AN51" s="244"/>
      <c r="AO51" s="244"/>
      <c r="AP51" s="244"/>
      <c r="AQ51" s="244"/>
      <c r="AR51" s="243"/>
      <c r="AS51" s="243"/>
      <c r="AT51" s="243"/>
      <c r="AU51" s="243"/>
      <c r="AV51" s="243"/>
    </row>
    <row r="52" spans="4:48">
      <c r="D52" s="172">
        <v>5500</v>
      </c>
      <c r="E52" s="172"/>
      <c r="F52" s="74"/>
      <c r="G52" s="75" t="s">
        <v>256</v>
      </c>
      <c r="H52" s="75"/>
      <c r="I52" s="75"/>
      <c r="J52" s="75"/>
      <c r="K52" s="75"/>
      <c r="L52" s="75"/>
      <c r="M52" s="75"/>
      <c r="N52" s="75"/>
      <c r="O52" s="79"/>
      <c r="P52" s="243"/>
      <c r="Q52" s="243"/>
      <c r="R52" s="243"/>
      <c r="S52" s="243"/>
      <c r="T52" s="238"/>
      <c r="U52" s="238"/>
      <c r="V52" s="238"/>
      <c r="W52" s="238"/>
      <c r="X52" s="238"/>
      <c r="Y52" s="238"/>
      <c r="Z52" s="238"/>
      <c r="AA52" s="238"/>
      <c r="AB52" s="244"/>
      <c r="AC52" s="244"/>
      <c r="AD52" s="244"/>
      <c r="AE52" s="244"/>
      <c r="AF52" s="238"/>
      <c r="AG52" s="238"/>
      <c r="AH52" s="238"/>
      <c r="AI52" s="238"/>
      <c r="AJ52" s="238"/>
      <c r="AK52" s="238"/>
      <c r="AL52" s="238"/>
      <c r="AM52" s="238"/>
      <c r="AN52" s="238"/>
      <c r="AO52" s="238"/>
      <c r="AP52" s="238"/>
      <c r="AQ52" s="238"/>
      <c r="AR52" s="243"/>
      <c r="AS52" s="243"/>
      <c r="AT52" s="243"/>
      <c r="AU52" s="243"/>
      <c r="AV52" s="243"/>
    </row>
    <row r="53" spans="4:48">
      <c r="D53" s="172">
        <v>4700</v>
      </c>
      <c r="E53" s="172"/>
      <c r="F53" s="74" t="s">
        <v>257</v>
      </c>
      <c r="G53" s="75"/>
      <c r="H53" s="75"/>
      <c r="I53" s="75"/>
      <c r="J53" s="75"/>
      <c r="K53" s="75"/>
      <c r="L53" s="75"/>
      <c r="M53" s="75"/>
      <c r="N53" s="75"/>
      <c r="O53" s="79"/>
      <c r="P53" s="243"/>
      <c r="Q53" s="243"/>
      <c r="R53" s="243"/>
      <c r="S53" s="243"/>
      <c r="T53" s="238"/>
      <c r="U53" s="238"/>
      <c r="V53" s="238"/>
      <c r="W53" s="238"/>
      <c r="X53" s="238"/>
      <c r="Y53" s="238"/>
      <c r="Z53" s="238"/>
      <c r="AA53" s="238"/>
      <c r="AB53" s="244"/>
      <c r="AC53" s="244"/>
      <c r="AD53" s="244"/>
      <c r="AE53" s="244"/>
      <c r="AF53" s="238"/>
      <c r="AG53" s="238"/>
      <c r="AH53" s="238"/>
      <c r="AI53" s="238"/>
      <c r="AJ53" s="238"/>
      <c r="AK53" s="238"/>
      <c r="AL53" s="238"/>
      <c r="AM53" s="238"/>
      <c r="AN53" s="238"/>
      <c r="AO53" s="238"/>
      <c r="AP53" s="238"/>
      <c r="AQ53" s="238"/>
      <c r="AR53" s="243"/>
      <c r="AS53" s="243"/>
      <c r="AT53" s="243"/>
      <c r="AU53" s="243"/>
      <c r="AV53" s="243"/>
    </row>
    <row r="54" spans="4:48">
      <c r="D54" s="172">
        <v>4800</v>
      </c>
      <c r="E54" s="172"/>
      <c r="F54" s="74" t="s">
        <v>258</v>
      </c>
      <c r="G54" s="75"/>
      <c r="H54" s="75"/>
      <c r="I54" s="75"/>
      <c r="J54" s="75"/>
      <c r="K54" s="75"/>
      <c r="L54" s="75"/>
      <c r="M54" s="75"/>
      <c r="N54" s="75"/>
      <c r="O54" s="79"/>
      <c r="P54" s="243"/>
      <c r="Q54" s="243"/>
      <c r="R54" s="243"/>
      <c r="S54" s="243"/>
      <c r="T54" s="244"/>
      <c r="U54" s="244"/>
      <c r="V54" s="244"/>
      <c r="W54" s="244"/>
      <c r="X54" s="244"/>
      <c r="Y54" s="244"/>
      <c r="Z54" s="244"/>
      <c r="AA54" s="244"/>
      <c r="AB54" s="244"/>
      <c r="AC54" s="244"/>
      <c r="AD54" s="244"/>
      <c r="AE54" s="244"/>
      <c r="AF54" s="244"/>
      <c r="AG54" s="244"/>
      <c r="AH54" s="244"/>
      <c r="AI54" s="244"/>
      <c r="AJ54" s="244"/>
      <c r="AK54" s="244"/>
      <c r="AL54" s="244"/>
      <c r="AM54" s="244"/>
      <c r="AN54" s="81"/>
      <c r="AO54" s="82"/>
      <c r="AP54" s="48" t="s">
        <v>259</v>
      </c>
      <c r="AQ54" s="83"/>
      <c r="AR54" s="243"/>
      <c r="AS54" s="243"/>
      <c r="AT54" s="243"/>
      <c r="AU54" s="243"/>
      <c r="AV54" s="243"/>
    </row>
    <row r="55" spans="4:48">
      <c r="L55" s="36" t="s">
        <v>260</v>
      </c>
    </row>
    <row r="56" spans="4:48" ht="3" customHeight="1">
      <c r="D56" s="239"/>
      <c r="E56" s="239"/>
      <c r="F56" s="239"/>
      <c r="G56" s="239"/>
      <c r="H56" s="239"/>
      <c r="I56" s="239"/>
      <c r="J56" s="239"/>
      <c r="K56" s="239"/>
      <c r="L56" s="239"/>
      <c r="M56" s="239"/>
      <c r="N56" s="239"/>
      <c r="O56" s="239"/>
      <c r="P56" s="239"/>
      <c r="Q56" s="239"/>
      <c r="R56" s="239"/>
      <c r="S56" s="239"/>
      <c r="T56" s="239"/>
      <c r="U56" s="239"/>
      <c r="V56" s="239"/>
      <c r="W56" s="239"/>
      <c r="X56" s="239"/>
      <c r="Y56" s="239"/>
      <c r="Z56" s="239"/>
      <c r="AA56" s="239"/>
      <c r="AB56" s="239"/>
      <c r="AC56" s="239"/>
      <c r="AD56" s="239"/>
      <c r="AE56" s="239"/>
      <c r="AF56" s="239"/>
      <c r="AG56" s="239"/>
      <c r="AH56" s="239"/>
      <c r="AI56" s="239"/>
      <c r="AJ56" s="239"/>
      <c r="AK56" s="239"/>
      <c r="AL56" s="239"/>
      <c r="AM56" s="239"/>
      <c r="AN56" s="239"/>
      <c r="AO56" s="239"/>
      <c r="AP56" s="239"/>
      <c r="AQ56" s="239"/>
      <c r="AR56" s="239"/>
      <c r="AS56" s="239"/>
      <c r="AT56" s="239"/>
      <c r="AU56" s="239"/>
      <c r="AV56" s="239"/>
    </row>
    <row r="57" spans="4:48">
      <c r="D57" s="7" t="s">
        <v>35</v>
      </c>
      <c r="E57" s="8" t="s">
        <v>261</v>
      </c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G57" s="34"/>
      <c r="AH57" s="34"/>
      <c r="AI57" s="34"/>
      <c r="AJ57" s="34"/>
      <c r="AK57" s="34"/>
      <c r="AL57" s="34"/>
      <c r="AM57" s="34"/>
      <c r="AN57" s="34"/>
      <c r="AO57" s="34"/>
      <c r="AP57" s="34"/>
      <c r="AQ57" s="34"/>
      <c r="AR57" s="34"/>
      <c r="AS57" s="34"/>
      <c r="AT57" s="34"/>
      <c r="AU57" s="34"/>
      <c r="AV57" s="34"/>
    </row>
    <row r="58" spans="4:48" ht="3" customHeight="1"/>
    <row r="59" spans="4:48">
      <c r="D59" s="132" t="s">
        <v>191</v>
      </c>
      <c r="E59" s="132"/>
      <c r="F59" s="163" t="s">
        <v>192</v>
      </c>
      <c r="G59" s="151"/>
      <c r="H59" s="151"/>
      <c r="I59" s="151"/>
      <c r="J59" s="151"/>
      <c r="K59" s="151"/>
      <c r="L59" s="151"/>
      <c r="M59" s="151"/>
      <c r="N59" s="151"/>
      <c r="O59" s="151"/>
      <c r="P59" s="151"/>
      <c r="Q59" s="151"/>
      <c r="R59" s="151"/>
      <c r="S59" s="151"/>
      <c r="T59" s="151" t="s">
        <v>262</v>
      </c>
      <c r="U59" s="151"/>
      <c r="V59" s="151"/>
      <c r="W59" s="151"/>
      <c r="X59" s="239"/>
      <c r="Y59" s="239"/>
      <c r="Z59" s="239"/>
      <c r="AA59" s="239"/>
      <c r="AB59" s="132" t="s">
        <v>191</v>
      </c>
      <c r="AC59" s="132"/>
      <c r="AD59" s="163" t="s">
        <v>192</v>
      </c>
      <c r="AE59" s="151"/>
      <c r="AF59" s="151"/>
      <c r="AG59" s="151"/>
      <c r="AH59" s="151"/>
      <c r="AI59" s="151"/>
      <c r="AJ59" s="151"/>
      <c r="AK59" s="151"/>
      <c r="AL59" s="151"/>
      <c r="AM59" s="151"/>
      <c r="AN59" s="151"/>
      <c r="AO59" s="151"/>
      <c r="AP59" s="151"/>
      <c r="AQ59" s="151"/>
      <c r="AR59" s="151" t="s">
        <v>262</v>
      </c>
      <c r="AS59" s="151"/>
      <c r="AT59" s="151"/>
      <c r="AU59" s="151"/>
      <c r="AV59" s="151"/>
    </row>
    <row r="60" spans="4:48">
      <c r="D60" s="132"/>
      <c r="E60" s="132"/>
      <c r="F60" s="163"/>
      <c r="G60" s="151"/>
      <c r="H60" s="151"/>
      <c r="I60" s="151"/>
      <c r="J60" s="151"/>
      <c r="K60" s="151"/>
      <c r="L60" s="151"/>
      <c r="M60" s="151"/>
      <c r="N60" s="151"/>
      <c r="O60" s="151"/>
      <c r="P60" s="151"/>
      <c r="Q60" s="151"/>
      <c r="R60" s="151"/>
      <c r="S60" s="151"/>
      <c r="T60" s="151"/>
      <c r="U60" s="151"/>
      <c r="V60" s="151"/>
      <c r="W60" s="151"/>
      <c r="X60" s="239"/>
      <c r="Y60" s="239"/>
      <c r="Z60" s="239"/>
      <c r="AA60" s="239"/>
      <c r="AB60" s="132"/>
      <c r="AC60" s="132"/>
      <c r="AD60" s="163"/>
      <c r="AE60" s="151"/>
      <c r="AF60" s="151"/>
      <c r="AG60" s="151"/>
      <c r="AH60" s="151"/>
      <c r="AI60" s="151"/>
      <c r="AJ60" s="151"/>
      <c r="AK60" s="151"/>
      <c r="AL60" s="151"/>
      <c r="AM60" s="151"/>
      <c r="AN60" s="151"/>
      <c r="AO60" s="151"/>
      <c r="AP60" s="151"/>
      <c r="AQ60" s="151"/>
      <c r="AR60" s="151"/>
      <c r="AS60" s="151"/>
      <c r="AT60" s="151"/>
      <c r="AU60" s="151"/>
      <c r="AV60" s="151"/>
    </row>
    <row r="61" spans="4:48">
      <c r="D61" s="132"/>
      <c r="E61" s="132"/>
      <c r="F61" s="141"/>
      <c r="G61" s="174"/>
      <c r="H61" s="174"/>
      <c r="I61" s="174"/>
      <c r="J61" s="174"/>
      <c r="K61" s="174"/>
      <c r="L61" s="174"/>
      <c r="M61" s="174"/>
      <c r="N61" s="174"/>
      <c r="O61" s="174"/>
      <c r="P61" s="174"/>
      <c r="Q61" s="174"/>
      <c r="R61" s="174"/>
      <c r="S61" s="174"/>
      <c r="T61" s="174"/>
      <c r="U61" s="174"/>
      <c r="V61" s="174"/>
      <c r="W61" s="174"/>
      <c r="X61" s="239"/>
      <c r="Y61" s="239"/>
      <c r="Z61" s="239"/>
      <c r="AA61" s="239"/>
      <c r="AB61" s="164"/>
      <c r="AC61" s="164"/>
      <c r="AD61" s="141"/>
      <c r="AE61" s="174"/>
      <c r="AF61" s="174"/>
      <c r="AG61" s="174"/>
      <c r="AH61" s="174"/>
      <c r="AI61" s="174"/>
      <c r="AJ61" s="174"/>
      <c r="AK61" s="174"/>
      <c r="AL61" s="174"/>
      <c r="AM61" s="174"/>
      <c r="AN61" s="174"/>
      <c r="AO61" s="174"/>
      <c r="AP61" s="174"/>
      <c r="AQ61" s="174"/>
      <c r="AR61" s="174"/>
      <c r="AS61" s="174"/>
      <c r="AT61" s="174"/>
      <c r="AU61" s="174"/>
      <c r="AV61" s="174"/>
    </row>
    <row r="62" spans="4:48">
      <c r="D62" s="240" t="s">
        <v>201</v>
      </c>
      <c r="E62" s="231"/>
      <c r="F62" s="241" t="s">
        <v>202</v>
      </c>
      <c r="G62" s="231"/>
      <c r="H62" s="231"/>
      <c r="I62" s="231"/>
      <c r="J62" s="231"/>
      <c r="K62" s="231"/>
      <c r="L62" s="231"/>
      <c r="M62" s="231"/>
      <c r="N62" s="231"/>
      <c r="O62" s="231"/>
      <c r="P62" s="231"/>
      <c r="Q62" s="231"/>
      <c r="R62" s="231"/>
      <c r="S62" s="231"/>
      <c r="T62" s="240" t="s">
        <v>203</v>
      </c>
      <c r="U62" s="231"/>
      <c r="V62" s="231"/>
      <c r="W62" s="231"/>
      <c r="X62" s="242"/>
      <c r="Y62" s="242"/>
      <c r="Z62" s="242"/>
      <c r="AA62" s="242"/>
      <c r="AB62" s="240" t="s">
        <v>201</v>
      </c>
      <c r="AC62" s="231"/>
      <c r="AD62" s="240" t="s">
        <v>202</v>
      </c>
      <c r="AE62" s="231"/>
      <c r="AF62" s="231"/>
      <c r="AG62" s="231"/>
      <c r="AH62" s="231"/>
      <c r="AI62" s="231"/>
      <c r="AJ62" s="231"/>
      <c r="AK62" s="231"/>
      <c r="AL62" s="231"/>
      <c r="AM62" s="231"/>
      <c r="AN62" s="231"/>
      <c r="AO62" s="231"/>
      <c r="AP62" s="231"/>
      <c r="AQ62" s="231"/>
      <c r="AR62" s="240" t="s">
        <v>203</v>
      </c>
      <c r="AS62" s="231"/>
      <c r="AT62" s="231"/>
      <c r="AU62" s="231"/>
      <c r="AV62" s="231"/>
    </row>
    <row r="63" spans="4:48">
      <c r="D63" s="237"/>
      <c r="E63" s="237"/>
      <c r="F63" s="77" t="s">
        <v>263</v>
      </c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80"/>
      <c r="T63" s="238"/>
      <c r="U63" s="238"/>
      <c r="V63" s="238"/>
      <c r="W63" s="238"/>
      <c r="X63" s="239"/>
      <c r="Y63" s="239"/>
      <c r="Z63" s="239"/>
      <c r="AA63" s="239"/>
      <c r="AB63" s="237"/>
      <c r="AC63" s="237"/>
      <c r="AD63" s="236" t="s">
        <v>264</v>
      </c>
      <c r="AE63" s="236"/>
      <c r="AF63" s="236"/>
      <c r="AG63" s="236"/>
      <c r="AH63" s="236"/>
      <c r="AI63" s="236"/>
      <c r="AJ63" s="236"/>
      <c r="AK63" s="236"/>
      <c r="AL63" s="236"/>
      <c r="AM63" s="236"/>
      <c r="AN63" s="236"/>
      <c r="AO63" s="236"/>
      <c r="AP63" s="236"/>
      <c r="AQ63" s="236"/>
      <c r="AR63" s="238"/>
      <c r="AS63" s="238"/>
      <c r="AT63" s="238"/>
      <c r="AU63" s="238"/>
      <c r="AV63" s="238"/>
    </row>
    <row r="64" spans="4:48">
      <c r="D64" s="231">
        <v>1101</v>
      </c>
      <c r="E64" s="231"/>
      <c r="F64" s="78" t="s">
        <v>265</v>
      </c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80"/>
      <c r="T64" s="232"/>
      <c r="U64" s="232"/>
      <c r="V64" s="232"/>
      <c r="W64" s="232"/>
      <c r="X64" s="239"/>
      <c r="Y64" s="239"/>
      <c r="Z64" s="239"/>
      <c r="AA64" s="239"/>
      <c r="AB64" s="231">
        <v>2102</v>
      </c>
      <c r="AC64" s="231"/>
      <c r="AD64" s="235" t="s">
        <v>266</v>
      </c>
      <c r="AE64" s="235"/>
      <c r="AF64" s="235"/>
      <c r="AG64" s="235"/>
      <c r="AH64" s="235"/>
      <c r="AI64" s="235"/>
      <c r="AJ64" s="235"/>
      <c r="AK64" s="235"/>
      <c r="AL64" s="235"/>
      <c r="AM64" s="235"/>
      <c r="AN64" s="235"/>
      <c r="AO64" s="235"/>
      <c r="AP64" s="235"/>
      <c r="AQ64" s="235"/>
      <c r="AR64" s="232"/>
      <c r="AS64" s="232"/>
      <c r="AT64" s="232"/>
      <c r="AU64" s="232"/>
      <c r="AV64" s="232"/>
    </row>
    <row r="65" spans="4:48">
      <c r="D65" s="231">
        <v>1122</v>
      </c>
      <c r="E65" s="231"/>
      <c r="F65" s="78" t="s">
        <v>267</v>
      </c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80"/>
      <c r="T65" s="232"/>
      <c r="U65" s="232"/>
      <c r="V65" s="232"/>
      <c r="W65" s="232"/>
      <c r="X65" s="239"/>
      <c r="Y65" s="239"/>
      <c r="Z65" s="239"/>
      <c r="AA65" s="239"/>
      <c r="AB65" s="231">
        <v>2103</v>
      </c>
      <c r="AC65" s="231"/>
      <c r="AD65" s="235" t="s">
        <v>268</v>
      </c>
      <c r="AE65" s="235"/>
      <c r="AF65" s="235"/>
      <c r="AG65" s="235"/>
      <c r="AH65" s="235"/>
      <c r="AI65" s="235"/>
      <c r="AJ65" s="235"/>
      <c r="AK65" s="235"/>
      <c r="AL65" s="235"/>
      <c r="AM65" s="235"/>
      <c r="AN65" s="235"/>
      <c r="AO65" s="235"/>
      <c r="AP65" s="235"/>
      <c r="AQ65" s="235"/>
      <c r="AR65" s="232"/>
      <c r="AS65" s="232"/>
      <c r="AT65" s="232"/>
      <c r="AU65" s="232"/>
      <c r="AV65" s="232"/>
    </row>
    <row r="66" spans="4:48">
      <c r="D66" s="231">
        <v>1123</v>
      </c>
      <c r="E66" s="231"/>
      <c r="F66" s="78" t="s">
        <v>269</v>
      </c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80"/>
      <c r="T66" s="232"/>
      <c r="U66" s="232"/>
      <c r="V66" s="232"/>
      <c r="W66" s="232"/>
      <c r="X66" s="239"/>
      <c r="Y66" s="239"/>
      <c r="Z66" s="239"/>
      <c r="AA66" s="239"/>
      <c r="AB66" s="231">
        <v>2111</v>
      </c>
      <c r="AC66" s="231"/>
      <c r="AD66" s="235" t="s">
        <v>270</v>
      </c>
      <c r="AE66" s="235"/>
      <c r="AF66" s="235"/>
      <c r="AG66" s="235"/>
      <c r="AH66" s="235"/>
      <c r="AI66" s="235"/>
      <c r="AJ66" s="235"/>
      <c r="AK66" s="235"/>
      <c r="AL66" s="235"/>
      <c r="AM66" s="235"/>
      <c r="AN66" s="235"/>
      <c r="AO66" s="235"/>
      <c r="AP66" s="235"/>
      <c r="AQ66" s="235"/>
      <c r="AR66" s="232"/>
      <c r="AS66" s="232"/>
      <c r="AT66" s="232"/>
      <c r="AU66" s="232"/>
      <c r="AV66" s="232"/>
    </row>
    <row r="67" spans="4:48">
      <c r="D67" s="231">
        <v>1124</v>
      </c>
      <c r="E67" s="231"/>
      <c r="F67" s="78" t="s">
        <v>271</v>
      </c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80"/>
      <c r="T67" s="232"/>
      <c r="U67" s="232"/>
      <c r="V67" s="232"/>
      <c r="W67" s="232"/>
      <c r="X67" s="239"/>
      <c r="Y67" s="239"/>
      <c r="Z67" s="239"/>
      <c r="AA67" s="239"/>
      <c r="AB67" s="231">
        <v>2191</v>
      </c>
      <c r="AC67" s="231"/>
      <c r="AD67" s="235" t="s">
        <v>276</v>
      </c>
      <c r="AE67" s="235"/>
      <c r="AF67" s="235"/>
      <c r="AG67" s="235"/>
      <c r="AH67" s="235"/>
      <c r="AI67" s="235"/>
      <c r="AJ67" s="235"/>
      <c r="AK67" s="235"/>
      <c r="AL67" s="235"/>
      <c r="AM67" s="235"/>
      <c r="AN67" s="235"/>
      <c r="AO67" s="235"/>
      <c r="AP67" s="235"/>
      <c r="AQ67" s="235"/>
      <c r="AR67" s="232"/>
      <c r="AS67" s="232"/>
      <c r="AT67" s="232"/>
      <c r="AU67" s="232"/>
      <c r="AV67" s="232"/>
    </row>
    <row r="68" spans="4:48">
      <c r="D68" s="231">
        <v>1125</v>
      </c>
      <c r="E68" s="231"/>
      <c r="F68" s="78" t="s">
        <v>273</v>
      </c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80"/>
      <c r="T68" s="232"/>
      <c r="U68" s="232"/>
      <c r="V68" s="232"/>
      <c r="W68" s="232"/>
      <c r="X68" s="239"/>
      <c r="Y68" s="239"/>
      <c r="Z68" s="239"/>
      <c r="AA68" s="239"/>
      <c r="AB68" s="231">
        <v>2186</v>
      </c>
      <c r="AC68" s="231"/>
      <c r="AD68" s="235" t="s">
        <v>272</v>
      </c>
      <c r="AE68" s="235"/>
      <c r="AF68" s="235"/>
      <c r="AG68" s="235"/>
      <c r="AH68" s="235"/>
      <c r="AI68" s="235"/>
      <c r="AJ68" s="235"/>
      <c r="AK68" s="235"/>
      <c r="AL68" s="235"/>
      <c r="AM68" s="235"/>
      <c r="AN68" s="235"/>
      <c r="AO68" s="235"/>
      <c r="AP68" s="235"/>
      <c r="AQ68" s="235"/>
      <c r="AR68" s="232"/>
      <c r="AS68" s="232"/>
      <c r="AT68" s="232"/>
      <c r="AU68" s="232"/>
      <c r="AV68" s="232"/>
    </row>
    <row r="69" spans="4:48">
      <c r="D69" s="231">
        <v>1131</v>
      </c>
      <c r="E69" s="231"/>
      <c r="F69" s="78"/>
      <c r="G69" s="84" t="s">
        <v>275</v>
      </c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80"/>
      <c r="T69" s="232">
        <v>-1</v>
      </c>
      <c r="U69" s="232"/>
      <c r="V69" s="232"/>
      <c r="W69" s="232"/>
      <c r="X69" s="239"/>
      <c r="Y69" s="239"/>
      <c r="Z69" s="239"/>
      <c r="AA69" s="239"/>
      <c r="AB69" s="231">
        <v>2187</v>
      </c>
      <c r="AC69" s="231"/>
      <c r="AD69" s="235" t="s">
        <v>274</v>
      </c>
      <c r="AE69" s="235"/>
      <c r="AF69" s="235"/>
      <c r="AG69" s="235"/>
      <c r="AH69" s="235"/>
      <c r="AI69" s="235"/>
      <c r="AJ69" s="235"/>
      <c r="AK69" s="235"/>
      <c r="AL69" s="235"/>
      <c r="AM69" s="235"/>
      <c r="AN69" s="235"/>
      <c r="AO69" s="235"/>
      <c r="AP69" s="235"/>
      <c r="AQ69" s="235"/>
      <c r="AR69" s="232"/>
      <c r="AS69" s="232"/>
      <c r="AT69" s="232"/>
      <c r="AU69" s="232"/>
      <c r="AV69" s="232"/>
    </row>
    <row r="70" spans="4:48">
      <c r="D70" s="231">
        <v>1181</v>
      </c>
      <c r="E70" s="231"/>
      <c r="F70" s="78" t="s">
        <v>277</v>
      </c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80"/>
      <c r="T70" s="232"/>
      <c r="U70" s="232"/>
      <c r="V70" s="232"/>
      <c r="W70" s="232"/>
      <c r="X70" s="239"/>
      <c r="Y70" s="239"/>
      <c r="Z70" s="239"/>
      <c r="AA70" s="239"/>
      <c r="AB70" s="231">
        <v>2195</v>
      </c>
      <c r="AC70" s="231"/>
      <c r="AD70" s="235" t="s">
        <v>278</v>
      </c>
      <c r="AE70" s="235"/>
      <c r="AF70" s="235"/>
      <c r="AG70" s="235"/>
      <c r="AH70" s="235"/>
      <c r="AI70" s="235"/>
      <c r="AJ70" s="235"/>
      <c r="AK70" s="235"/>
      <c r="AL70" s="235"/>
      <c r="AM70" s="235"/>
      <c r="AN70" s="235"/>
      <c r="AO70" s="235"/>
      <c r="AP70" s="235"/>
      <c r="AQ70" s="235"/>
      <c r="AR70" s="232"/>
      <c r="AS70" s="232"/>
      <c r="AT70" s="232"/>
      <c r="AU70" s="232"/>
      <c r="AV70" s="232"/>
    </row>
    <row r="71" spans="4:48">
      <c r="D71" s="231">
        <v>1200</v>
      </c>
      <c r="E71" s="231"/>
      <c r="F71" s="78" t="s">
        <v>279</v>
      </c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80"/>
      <c r="T71" s="232"/>
      <c r="U71" s="232"/>
      <c r="V71" s="232"/>
      <c r="W71" s="232"/>
      <c r="X71" s="239"/>
      <c r="Y71" s="239"/>
      <c r="Z71" s="239"/>
      <c r="AA71" s="239"/>
      <c r="AB71" s="231">
        <v>2201</v>
      </c>
      <c r="AC71" s="231"/>
      <c r="AD71" s="235" t="s">
        <v>280</v>
      </c>
      <c r="AE71" s="235"/>
      <c r="AF71" s="235"/>
      <c r="AG71" s="235"/>
      <c r="AH71" s="235"/>
      <c r="AI71" s="235"/>
      <c r="AJ71" s="235"/>
      <c r="AK71" s="235"/>
      <c r="AL71" s="235"/>
      <c r="AM71" s="235"/>
      <c r="AN71" s="235"/>
      <c r="AO71" s="235"/>
      <c r="AP71" s="235"/>
      <c r="AQ71" s="235"/>
      <c r="AR71" s="232"/>
      <c r="AS71" s="232"/>
      <c r="AT71" s="232"/>
      <c r="AU71" s="232"/>
      <c r="AV71" s="232"/>
    </row>
    <row r="72" spans="4:48">
      <c r="D72" s="231">
        <v>1401</v>
      </c>
      <c r="E72" s="231"/>
      <c r="F72" s="78" t="s">
        <v>281</v>
      </c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80"/>
      <c r="T72" s="232"/>
      <c r="U72" s="232"/>
      <c r="V72" s="232"/>
      <c r="W72" s="232"/>
      <c r="X72" s="239"/>
      <c r="Y72" s="239"/>
      <c r="Z72" s="239"/>
      <c r="AA72" s="239"/>
      <c r="AB72" s="231">
        <v>2202</v>
      </c>
      <c r="AC72" s="231"/>
      <c r="AD72" s="235" t="s">
        <v>282</v>
      </c>
      <c r="AE72" s="235"/>
      <c r="AF72" s="235"/>
      <c r="AG72" s="235"/>
      <c r="AH72" s="235"/>
      <c r="AI72" s="235"/>
      <c r="AJ72" s="235"/>
      <c r="AK72" s="235"/>
      <c r="AL72" s="235"/>
      <c r="AM72" s="235"/>
      <c r="AN72" s="235"/>
      <c r="AO72" s="235"/>
      <c r="AP72" s="235"/>
      <c r="AQ72" s="235"/>
      <c r="AR72" s="232"/>
      <c r="AS72" s="232"/>
      <c r="AT72" s="232"/>
      <c r="AU72" s="232"/>
      <c r="AV72" s="232"/>
    </row>
    <row r="73" spans="4:48">
      <c r="D73" s="231">
        <v>1421</v>
      </c>
      <c r="E73" s="231"/>
      <c r="F73" s="78" t="s">
        <v>283</v>
      </c>
      <c r="G73" s="78"/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80"/>
      <c r="T73" s="232"/>
      <c r="U73" s="232"/>
      <c r="V73" s="232"/>
      <c r="W73" s="232"/>
      <c r="X73" s="239"/>
      <c r="Y73" s="239"/>
      <c r="Z73" s="239"/>
      <c r="AA73" s="239"/>
      <c r="AB73" s="231">
        <v>2203</v>
      </c>
      <c r="AC73" s="231"/>
      <c r="AD73" s="235" t="s">
        <v>284</v>
      </c>
      <c r="AE73" s="235"/>
      <c r="AF73" s="235"/>
      <c r="AG73" s="235"/>
      <c r="AH73" s="235"/>
      <c r="AI73" s="235"/>
      <c r="AJ73" s="235"/>
      <c r="AK73" s="235"/>
      <c r="AL73" s="235"/>
      <c r="AM73" s="235"/>
      <c r="AN73" s="235"/>
      <c r="AO73" s="235"/>
      <c r="AP73" s="235"/>
      <c r="AQ73" s="235"/>
      <c r="AR73" s="232"/>
      <c r="AS73" s="232"/>
      <c r="AT73" s="232"/>
      <c r="AU73" s="232"/>
      <c r="AV73" s="232"/>
    </row>
    <row r="74" spans="4:48">
      <c r="D74" s="231">
        <v>1422</v>
      </c>
      <c r="E74" s="231"/>
      <c r="F74" s="78" t="s">
        <v>289</v>
      </c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80"/>
      <c r="T74" s="232"/>
      <c r="U74" s="232"/>
      <c r="V74" s="232"/>
      <c r="W74" s="232"/>
      <c r="X74" s="239"/>
      <c r="Y74" s="239"/>
      <c r="Z74" s="239"/>
      <c r="AA74" s="239"/>
      <c r="AB74" s="231">
        <v>2203</v>
      </c>
      <c r="AC74" s="231"/>
      <c r="AD74" s="235" t="s">
        <v>286</v>
      </c>
      <c r="AE74" s="235"/>
      <c r="AF74" s="235"/>
      <c r="AG74" s="235"/>
      <c r="AH74" s="235"/>
      <c r="AI74" s="235"/>
      <c r="AJ74" s="235"/>
      <c r="AK74" s="235"/>
      <c r="AL74" s="235"/>
      <c r="AM74" s="235"/>
      <c r="AN74" s="235"/>
      <c r="AO74" s="235"/>
      <c r="AP74" s="235"/>
      <c r="AQ74" s="235"/>
      <c r="AR74" s="232"/>
      <c r="AS74" s="232"/>
      <c r="AT74" s="232"/>
      <c r="AU74" s="232"/>
      <c r="AV74" s="232"/>
    </row>
    <row r="75" spans="4:48">
      <c r="D75" s="231">
        <v>1423</v>
      </c>
      <c r="E75" s="231"/>
      <c r="F75" s="78" t="s">
        <v>285</v>
      </c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80"/>
      <c r="T75" s="232"/>
      <c r="U75" s="232"/>
      <c r="V75" s="232"/>
      <c r="W75" s="232"/>
      <c r="X75" s="239"/>
      <c r="Y75" s="239"/>
      <c r="Z75" s="239"/>
      <c r="AA75" s="239"/>
      <c r="AB75" s="231">
        <v>2228</v>
      </c>
      <c r="AC75" s="231"/>
      <c r="AD75" s="246" t="s">
        <v>288</v>
      </c>
      <c r="AE75" s="246"/>
      <c r="AF75" s="246"/>
      <c r="AG75" s="246"/>
      <c r="AH75" s="246"/>
      <c r="AI75" s="246"/>
      <c r="AJ75" s="246"/>
      <c r="AK75" s="246"/>
      <c r="AL75" s="246"/>
      <c r="AM75" s="246"/>
      <c r="AN75" s="246"/>
      <c r="AO75" s="246"/>
      <c r="AP75" s="246"/>
      <c r="AQ75" s="246"/>
      <c r="AR75" s="232"/>
      <c r="AS75" s="232"/>
      <c r="AT75" s="232"/>
      <c r="AU75" s="232"/>
      <c r="AV75" s="232"/>
    </row>
    <row r="76" spans="4:48">
      <c r="D76" s="231">
        <v>1499</v>
      </c>
      <c r="E76" s="231"/>
      <c r="F76" s="78" t="s">
        <v>291</v>
      </c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80"/>
      <c r="T76" s="232"/>
      <c r="U76" s="232"/>
      <c r="V76" s="232"/>
      <c r="W76" s="232"/>
      <c r="X76" s="239"/>
      <c r="Y76" s="239"/>
      <c r="Z76" s="239"/>
      <c r="AA76" s="239"/>
      <c r="AB76" s="237"/>
      <c r="AC76" s="237"/>
      <c r="AD76" s="235" t="s">
        <v>290</v>
      </c>
      <c r="AE76" s="235"/>
      <c r="AF76" s="235"/>
      <c r="AG76" s="235"/>
      <c r="AH76" s="235"/>
      <c r="AI76" s="235"/>
      <c r="AJ76" s="235"/>
      <c r="AK76" s="235"/>
      <c r="AL76" s="235"/>
      <c r="AM76" s="235"/>
      <c r="AN76" s="235"/>
      <c r="AO76" s="235"/>
      <c r="AP76" s="235"/>
      <c r="AQ76" s="235"/>
      <c r="AR76" s="238"/>
      <c r="AS76" s="238"/>
      <c r="AT76" s="238"/>
      <c r="AU76" s="238"/>
      <c r="AV76" s="238"/>
    </row>
    <row r="77" spans="4:48">
      <c r="D77" s="237"/>
      <c r="E77" s="237"/>
      <c r="F77" s="77" t="s">
        <v>293</v>
      </c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80"/>
      <c r="T77" s="238"/>
      <c r="U77" s="238"/>
      <c r="V77" s="238"/>
      <c r="W77" s="238"/>
      <c r="X77" s="239"/>
      <c r="Y77" s="239"/>
      <c r="Z77" s="239"/>
      <c r="AA77" s="239"/>
      <c r="AB77" s="231">
        <v>2301</v>
      </c>
      <c r="AC77" s="231"/>
      <c r="AD77" s="235" t="s">
        <v>331</v>
      </c>
      <c r="AE77" s="235"/>
      <c r="AF77" s="235"/>
      <c r="AG77" s="235"/>
      <c r="AH77" s="235"/>
      <c r="AI77" s="235"/>
      <c r="AJ77" s="235"/>
      <c r="AK77" s="235"/>
      <c r="AL77" s="235"/>
      <c r="AM77" s="235"/>
      <c r="AN77" s="235"/>
      <c r="AO77" s="235"/>
      <c r="AP77" s="235"/>
      <c r="AQ77" s="235"/>
      <c r="AR77" s="232"/>
      <c r="AS77" s="232"/>
      <c r="AT77" s="232"/>
      <c r="AU77" s="232"/>
      <c r="AV77" s="232"/>
    </row>
    <row r="78" spans="4:48">
      <c r="D78" s="231">
        <v>1501</v>
      </c>
      <c r="E78" s="231"/>
      <c r="F78" s="78" t="s">
        <v>295</v>
      </c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80"/>
      <c r="T78" s="232"/>
      <c r="U78" s="232"/>
      <c r="V78" s="232"/>
      <c r="W78" s="232"/>
      <c r="X78" s="44"/>
      <c r="Y78" s="44"/>
      <c r="Z78" s="44"/>
      <c r="AA78" s="44"/>
      <c r="AB78" s="231">
        <v>2304</v>
      </c>
      <c r="AC78" s="231"/>
      <c r="AD78" s="235" t="s">
        <v>294</v>
      </c>
      <c r="AE78" s="235"/>
      <c r="AF78" s="235"/>
      <c r="AG78" s="235"/>
      <c r="AH78" s="235"/>
      <c r="AI78" s="235"/>
      <c r="AJ78" s="235"/>
      <c r="AK78" s="235"/>
      <c r="AL78" s="235"/>
      <c r="AM78" s="235"/>
      <c r="AN78" s="235"/>
      <c r="AO78" s="235"/>
      <c r="AP78" s="235"/>
      <c r="AQ78" s="235"/>
      <c r="AR78" s="232"/>
      <c r="AS78" s="232"/>
      <c r="AT78" s="232"/>
      <c r="AU78" s="232"/>
      <c r="AV78" s="232"/>
    </row>
    <row r="79" spans="4:48">
      <c r="D79" s="231">
        <v>1521</v>
      </c>
      <c r="E79" s="231"/>
      <c r="F79" s="78" t="s">
        <v>340</v>
      </c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80"/>
      <c r="T79" s="232"/>
      <c r="U79" s="232"/>
      <c r="V79" s="232"/>
      <c r="W79" s="232"/>
      <c r="X79" s="239"/>
      <c r="Y79" s="239"/>
      <c r="Z79" s="239"/>
      <c r="AA79" s="239"/>
      <c r="AB79" s="231">
        <v>2312</v>
      </c>
      <c r="AC79" s="231"/>
      <c r="AD79" s="235" t="s">
        <v>296</v>
      </c>
      <c r="AE79" s="235"/>
      <c r="AF79" s="235"/>
      <c r="AG79" s="235"/>
      <c r="AH79" s="235"/>
      <c r="AI79" s="235"/>
      <c r="AJ79" s="235"/>
      <c r="AK79" s="235"/>
      <c r="AL79" s="235"/>
      <c r="AM79" s="235"/>
      <c r="AN79" s="235"/>
      <c r="AO79" s="235"/>
      <c r="AP79" s="235"/>
      <c r="AQ79" s="235"/>
      <c r="AR79" s="232"/>
      <c r="AS79" s="232"/>
      <c r="AT79" s="232"/>
      <c r="AU79" s="232"/>
      <c r="AV79" s="232"/>
    </row>
    <row r="80" spans="4:48">
      <c r="D80" s="231">
        <v>1522</v>
      </c>
      <c r="E80" s="231"/>
      <c r="F80" s="78"/>
      <c r="G80" s="84" t="s">
        <v>341</v>
      </c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80"/>
      <c r="T80" s="232">
        <v>-1</v>
      </c>
      <c r="U80" s="232"/>
      <c r="V80" s="232"/>
      <c r="W80" s="232"/>
      <c r="AB80" s="231">
        <v>2322</v>
      </c>
      <c r="AC80" s="231"/>
      <c r="AD80" s="235" t="s">
        <v>298</v>
      </c>
      <c r="AE80" s="235"/>
      <c r="AF80" s="235"/>
      <c r="AG80" s="235"/>
      <c r="AH80" s="235"/>
      <c r="AI80" s="235"/>
      <c r="AJ80" s="235"/>
      <c r="AK80" s="235"/>
      <c r="AL80" s="235"/>
      <c r="AM80" s="235"/>
      <c r="AN80" s="235"/>
      <c r="AO80" s="235"/>
      <c r="AP80" s="235"/>
      <c r="AQ80" s="235"/>
      <c r="AR80" s="232"/>
      <c r="AS80" s="232"/>
      <c r="AT80" s="232"/>
      <c r="AU80" s="232"/>
      <c r="AV80" s="232"/>
    </row>
    <row r="81" spans="4:48">
      <c r="D81" s="231">
        <v>1551</v>
      </c>
      <c r="E81" s="231"/>
      <c r="F81" s="78" t="s">
        <v>313</v>
      </c>
      <c r="G81" s="78"/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80"/>
      <c r="T81" s="232"/>
      <c r="U81" s="232"/>
      <c r="V81" s="232"/>
      <c r="W81" s="232"/>
      <c r="AB81" s="231">
        <v>2322</v>
      </c>
      <c r="AC81" s="231"/>
      <c r="AD81" s="235" t="s">
        <v>300</v>
      </c>
      <c r="AE81" s="235"/>
      <c r="AF81" s="235"/>
      <c r="AG81" s="235"/>
      <c r="AH81" s="235"/>
      <c r="AI81" s="235"/>
      <c r="AJ81" s="235"/>
      <c r="AK81" s="235"/>
      <c r="AL81" s="235"/>
      <c r="AM81" s="235"/>
      <c r="AN81" s="235"/>
      <c r="AO81" s="235"/>
      <c r="AP81" s="235"/>
      <c r="AQ81" s="235"/>
      <c r="AR81" s="232"/>
      <c r="AS81" s="232"/>
      <c r="AT81" s="232"/>
      <c r="AU81" s="232"/>
      <c r="AV81" s="232"/>
    </row>
    <row r="82" spans="4:48">
      <c r="D82" s="231">
        <v>1599</v>
      </c>
      <c r="E82" s="231"/>
      <c r="F82" s="78" t="s">
        <v>315</v>
      </c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80"/>
      <c r="T82" s="232"/>
      <c r="U82" s="232"/>
      <c r="V82" s="232"/>
      <c r="W82" s="232"/>
      <c r="AB82" s="231">
        <v>2321</v>
      </c>
      <c r="AC82" s="231"/>
      <c r="AD82" s="235" t="s">
        <v>332</v>
      </c>
      <c r="AE82" s="235"/>
      <c r="AF82" s="235"/>
      <c r="AG82" s="235"/>
      <c r="AH82" s="235"/>
      <c r="AI82" s="235"/>
      <c r="AJ82" s="235"/>
      <c r="AK82" s="235"/>
      <c r="AL82" s="235"/>
      <c r="AM82" s="235"/>
      <c r="AN82" s="235"/>
      <c r="AO82" s="235"/>
      <c r="AP82" s="235"/>
      <c r="AQ82" s="235"/>
      <c r="AR82" s="232"/>
      <c r="AS82" s="232"/>
      <c r="AT82" s="232"/>
      <c r="AU82" s="232"/>
      <c r="AV82" s="232"/>
    </row>
    <row r="83" spans="4:48">
      <c r="D83" s="231">
        <v>1600</v>
      </c>
      <c r="E83" s="231"/>
      <c r="F83" s="78" t="s">
        <v>317</v>
      </c>
      <c r="G83" s="78"/>
      <c r="H83" s="78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80"/>
      <c r="T83" s="232"/>
      <c r="U83" s="232"/>
      <c r="V83" s="232"/>
      <c r="W83" s="232"/>
      <c r="AB83" s="231">
        <v>2998</v>
      </c>
      <c r="AC83" s="231"/>
      <c r="AD83" s="235" t="s">
        <v>304</v>
      </c>
      <c r="AE83" s="235"/>
      <c r="AF83" s="235"/>
      <c r="AG83" s="235"/>
      <c r="AH83" s="235"/>
      <c r="AI83" s="235"/>
      <c r="AJ83" s="235"/>
      <c r="AK83" s="235"/>
      <c r="AL83" s="235"/>
      <c r="AM83" s="235"/>
      <c r="AN83" s="235"/>
      <c r="AO83" s="235"/>
      <c r="AP83" s="235"/>
      <c r="AQ83" s="235"/>
      <c r="AR83" s="232"/>
      <c r="AS83" s="232"/>
      <c r="AT83" s="232"/>
      <c r="AU83" s="232"/>
      <c r="AV83" s="232"/>
    </row>
    <row r="84" spans="4:48">
      <c r="D84" s="231">
        <v>1601</v>
      </c>
      <c r="E84" s="231"/>
      <c r="F84" s="78"/>
      <c r="G84" s="84" t="s">
        <v>319</v>
      </c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80"/>
      <c r="T84" s="232">
        <v>-1</v>
      </c>
      <c r="U84" s="232"/>
      <c r="V84" s="232"/>
      <c r="W84" s="232"/>
      <c r="AB84" s="231">
        <v>2999</v>
      </c>
      <c r="AC84" s="231"/>
      <c r="AD84" s="235" t="s">
        <v>306</v>
      </c>
      <c r="AE84" s="235"/>
      <c r="AF84" s="235"/>
      <c r="AG84" s="235"/>
      <c r="AH84" s="235"/>
      <c r="AI84" s="235"/>
      <c r="AJ84" s="235"/>
      <c r="AK84" s="235"/>
      <c r="AL84" s="235"/>
      <c r="AM84" s="235"/>
      <c r="AN84" s="235"/>
      <c r="AO84" s="235"/>
      <c r="AP84" s="235"/>
      <c r="AQ84" s="235"/>
      <c r="AR84" s="232">
        <f>SUM(AR63:AV83)</f>
        <v>0</v>
      </c>
      <c r="AS84" s="232"/>
      <c r="AT84" s="232"/>
      <c r="AU84" s="232"/>
      <c r="AV84" s="232"/>
    </row>
    <row r="85" spans="4:48">
      <c r="D85" s="231">
        <v>1611</v>
      </c>
      <c r="E85" s="231"/>
      <c r="F85" s="78" t="s">
        <v>321</v>
      </c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80"/>
      <c r="T85" s="232"/>
      <c r="U85" s="232"/>
      <c r="V85" s="232"/>
      <c r="W85" s="232"/>
      <c r="AB85" s="237"/>
      <c r="AC85" s="237"/>
      <c r="AD85" s="236" t="s">
        <v>308</v>
      </c>
      <c r="AE85" s="236"/>
      <c r="AF85" s="236"/>
      <c r="AG85" s="236"/>
      <c r="AH85" s="236"/>
      <c r="AI85" s="236"/>
      <c r="AJ85" s="236"/>
      <c r="AK85" s="236"/>
      <c r="AL85" s="236"/>
      <c r="AM85" s="236"/>
      <c r="AN85" s="236"/>
      <c r="AO85" s="236"/>
      <c r="AP85" s="236"/>
      <c r="AQ85" s="236"/>
      <c r="AR85" s="238"/>
      <c r="AS85" s="238"/>
      <c r="AT85" s="238"/>
      <c r="AU85" s="238"/>
      <c r="AV85" s="238"/>
    </row>
    <row r="86" spans="4:48">
      <c r="D86" s="231">
        <v>1651</v>
      </c>
      <c r="E86" s="231"/>
      <c r="F86" s="78" t="s">
        <v>323</v>
      </c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80"/>
      <c r="T86" s="232"/>
      <c r="U86" s="232"/>
      <c r="V86" s="232"/>
      <c r="W86" s="232"/>
      <c r="AB86" s="231">
        <v>3102</v>
      </c>
      <c r="AC86" s="231"/>
      <c r="AD86" s="235" t="s">
        <v>310</v>
      </c>
      <c r="AE86" s="235"/>
      <c r="AF86" s="235"/>
      <c r="AG86" s="235"/>
      <c r="AH86" s="235"/>
      <c r="AI86" s="235"/>
      <c r="AJ86" s="235"/>
      <c r="AK86" s="235"/>
      <c r="AL86" s="235"/>
      <c r="AM86" s="235"/>
      <c r="AN86" s="235"/>
      <c r="AO86" s="235"/>
      <c r="AP86" s="235"/>
      <c r="AQ86" s="235"/>
      <c r="AR86" s="232"/>
      <c r="AS86" s="232"/>
      <c r="AT86" s="232"/>
      <c r="AU86" s="232"/>
      <c r="AV86" s="232"/>
    </row>
    <row r="87" spans="4:48">
      <c r="D87" s="231">
        <v>1658</v>
      </c>
      <c r="E87" s="231"/>
      <c r="F87" s="78"/>
      <c r="G87" s="84" t="s">
        <v>324</v>
      </c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80"/>
      <c r="T87" s="232">
        <v>-1</v>
      </c>
      <c r="U87" s="232"/>
      <c r="V87" s="232"/>
      <c r="W87" s="232"/>
      <c r="AB87" s="231">
        <v>3120</v>
      </c>
      <c r="AC87" s="231"/>
      <c r="AD87" s="235" t="s">
        <v>312</v>
      </c>
      <c r="AE87" s="235"/>
      <c r="AF87" s="235"/>
      <c r="AG87" s="235"/>
      <c r="AH87" s="235"/>
      <c r="AI87" s="235"/>
      <c r="AJ87" s="235"/>
      <c r="AK87" s="235"/>
      <c r="AL87" s="235"/>
      <c r="AM87" s="235"/>
      <c r="AN87" s="235"/>
      <c r="AO87" s="235"/>
      <c r="AP87" s="235"/>
      <c r="AQ87" s="235"/>
      <c r="AR87" s="232"/>
      <c r="AS87" s="232"/>
      <c r="AT87" s="232"/>
      <c r="AU87" s="232"/>
      <c r="AV87" s="232"/>
    </row>
    <row r="88" spans="4:48">
      <c r="D88" s="231">
        <v>1698</v>
      </c>
      <c r="E88" s="231"/>
      <c r="F88" s="78" t="s">
        <v>325</v>
      </c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80"/>
      <c r="T88" s="232"/>
      <c r="U88" s="232"/>
      <c r="V88" s="232"/>
      <c r="W88" s="232"/>
      <c r="AB88" s="231">
        <v>3200</v>
      </c>
      <c r="AC88" s="231"/>
      <c r="AD88" s="235" t="s">
        <v>314</v>
      </c>
      <c r="AE88" s="235"/>
      <c r="AF88" s="235"/>
      <c r="AG88" s="235"/>
      <c r="AH88" s="235"/>
      <c r="AI88" s="235"/>
      <c r="AJ88" s="235"/>
      <c r="AK88" s="235"/>
      <c r="AL88" s="235"/>
      <c r="AM88" s="235"/>
      <c r="AN88" s="235"/>
      <c r="AO88" s="235"/>
      <c r="AP88" s="235"/>
      <c r="AQ88" s="235"/>
      <c r="AR88" s="232"/>
      <c r="AS88" s="232"/>
      <c r="AT88" s="232"/>
      <c r="AU88" s="232"/>
      <c r="AV88" s="232"/>
    </row>
    <row r="89" spans="4:48">
      <c r="D89" s="231">
        <v>1700</v>
      </c>
      <c r="E89" s="231"/>
      <c r="F89" s="77" t="s">
        <v>326</v>
      </c>
      <c r="G89" s="78"/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80"/>
      <c r="T89" s="232">
        <f>SUM(T63:T88)</f>
        <v>-4</v>
      </c>
      <c r="U89" s="232"/>
      <c r="V89" s="232"/>
      <c r="W89" s="232"/>
      <c r="AB89" s="231">
        <v>3297</v>
      </c>
      <c r="AC89" s="231"/>
      <c r="AD89" s="235" t="s">
        <v>316</v>
      </c>
      <c r="AE89" s="235"/>
      <c r="AF89" s="235"/>
      <c r="AG89" s="235"/>
      <c r="AH89" s="235"/>
      <c r="AI89" s="235"/>
      <c r="AJ89" s="235"/>
      <c r="AK89" s="235"/>
      <c r="AL89" s="235"/>
      <c r="AM89" s="235"/>
      <c r="AN89" s="235"/>
      <c r="AO89" s="235"/>
      <c r="AP89" s="235"/>
      <c r="AQ89" s="235"/>
      <c r="AR89" s="232"/>
      <c r="AS89" s="232"/>
      <c r="AT89" s="232"/>
      <c r="AU89" s="232"/>
      <c r="AV89" s="232"/>
    </row>
    <row r="90" spans="4:48">
      <c r="AB90" s="231">
        <v>3298</v>
      </c>
      <c r="AC90" s="231"/>
      <c r="AD90" s="235" t="s">
        <v>318</v>
      </c>
      <c r="AE90" s="235"/>
      <c r="AF90" s="235"/>
      <c r="AG90" s="235"/>
      <c r="AH90" s="235"/>
      <c r="AI90" s="235"/>
      <c r="AJ90" s="235"/>
      <c r="AK90" s="235"/>
      <c r="AL90" s="235"/>
      <c r="AM90" s="235"/>
      <c r="AN90" s="235"/>
      <c r="AO90" s="235"/>
      <c r="AP90" s="235"/>
      <c r="AQ90" s="235"/>
      <c r="AR90" s="232"/>
      <c r="AS90" s="232"/>
      <c r="AT90" s="232"/>
      <c r="AU90" s="232"/>
      <c r="AV90" s="232"/>
    </row>
    <row r="91" spans="4:48">
      <c r="AB91" s="231">
        <v>3299</v>
      </c>
      <c r="AC91" s="231"/>
      <c r="AD91" s="235" t="s">
        <v>320</v>
      </c>
      <c r="AE91" s="235"/>
      <c r="AF91" s="235"/>
      <c r="AG91" s="235"/>
      <c r="AH91" s="235"/>
      <c r="AI91" s="235"/>
      <c r="AJ91" s="235"/>
      <c r="AK91" s="235"/>
      <c r="AL91" s="235"/>
      <c r="AM91" s="235"/>
      <c r="AN91" s="235"/>
      <c r="AO91" s="235"/>
      <c r="AP91" s="235"/>
      <c r="AQ91" s="235"/>
      <c r="AR91" s="232">
        <f>SUM(AR86:AR90)</f>
        <v>0</v>
      </c>
      <c r="AS91" s="232"/>
      <c r="AT91" s="232"/>
      <c r="AU91" s="232"/>
      <c r="AV91" s="232"/>
    </row>
    <row r="92" spans="4:48">
      <c r="AB92" s="231">
        <v>3300</v>
      </c>
      <c r="AC92" s="231"/>
      <c r="AD92" s="236" t="s">
        <v>322</v>
      </c>
      <c r="AE92" s="236"/>
      <c r="AF92" s="236"/>
      <c r="AG92" s="236"/>
      <c r="AH92" s="236"/>
      <c r="AI92" s="236"/>
      <c r="AJ92" s="236"/>
      <c r="AK92" s="236"/>
      <c r="AL92" s="236"/>
      <c r="AM92" s="236"/>
      <c r="AN92" s="236"/>
      <c r="AO92" s="236"/>
      <c r="AP92" s="236"/>
      <c r="AQ92" s="236"/>
      <c r="AR92" s="232">
        <f>AR91+AR84</f>
        <v>0</v>
      </c>
      <c r="AS92" s="232"/>
      <c r="AT92" s="232"/>
      <c r="AU92" s="232"/>
      <c r="AV92" s="232"/>
    </row>
  </sheetData>
  <mergeCells count="540">
    <mergeCell ref="AN7:AV7"/>
    <mergeCell ref="D18:E18"/>
    <mergeCell ref="F18:O18"/>
    <mergeCell ref="P18:S18"/>
    <mergeCell ref="T18:W18"/>
    <mergeCell ref="X18:AA18"/>
    <mergeCell ref="AB18:AE18"/>
    <mergeCell ref="AF18:AI18"/>
    <mergeCell ref="AJ18:AM18"/>
    <mergeCell ref="AN18:AQ18"/>
    <mergeCell ref="AR18:AV18"/>
    <mergeCell ref="AR19:AV19"/>
    <mergeCell ref="D20:E20"/>
    <mergeCell ref="F20:O20"/>
    <mergeCell ref="P20:S20"/>
    <mergeCell ref="T20:W20"/>
    <mergeCell ref="X20:AA20"/>
    <mergeCell ref="AB20:AE20"/>
    <mergeCell ref="AF20:AI20"/>
    <mergeCell ref="AJ20:AM20"/>
    <mergeCell ref="AN20:AQ20"/>
    <mergeCell ref="AR20:AV20"/>
    <mergeCell ref="D19:E19"/>
    <mergeCell ref="F19:O19"/>
    <mergeCell ref="P19:S19"/>
    <mergeCell ref="T19:W19"/>
    <mergeCell ref="X19:AA19"/>
    <mergeCell ref="AB19:AE19"/>
    <mergeCell ref="AF19:AI19"/>
    <mergeCell ref="AJ19:AM19"/>
    <mergeCell ref="AN19:AQ19"/>
    <mergeCell ref="AR21:AV21"/>
    <mergeCell ref="D22:E22"/>
    <mergeCell ref="F22:O22"/>
    <mergeCell ref="P22:S22"/>
    <mergeCell ref="T22:W22"/>
    <mergeCell ref="X22:AA22"/>
    <mergeCell ref="AB22:AE22"/>
    <mergeCell ref="AF22:AI22"/>
    <mergeCell ref="AJ22:AM22"/>
    <mergeCell ref="AN22:AQ22"/>
    <mergeCell ref="AR22:AV22"/>
    <mergeCell ref="D21:E21"/>
    <mergeCell ref="F21:O21"/>
    <mergeCell ref="P21:S21"/>
    <mergeCell ref="T21:W21"/>
    <mergeCell ref="X21:AA21"/>
    <mergeCell ref="AB21:AE21"/>
    <mergeCell ref="AF21:AI21"/>
    <mergeCell ref="AJ21:AM21"/>
    <mergeCell ref="AN21:AQ21"/>
    <mergeCell ref="AR23:AV23"/>
    <mergeCell ref="D24:E24"/>
    <mergeCell ref="F24:O24"/>
    <mergeCell ref="P24:S24"/>
    <mergeCell ref="T24:W24"/>
    <mergeCell ref="X24:AA24"/>
    <mergeCell ref="AB24:AE24"/>
    <mergeCell ref="AF24:AI24"/>
    <mergeCell ref="AJ24:AM24"/>
    <mergeCell ref="AN24:AQ24"/>
    <mergeCell ref="AR24:AV24"/>
    <mergeCell ref="D23:E23"/>
    <mergeCell ref="F23:O23"/>
    <mergeCell ref="P23:S23"/>
    <mergeCell ref="T23:W23"/>
    <mergeCell ref="X23:AA23"/>
    <mergeCell ref="AB23:AE23"/>
    <mergeCell ref="AF23:AI23"/>
    <mergeCell ref="AJ23:AM23"/>
    <mergeCell ref="AN23:AQ23"/>
    <mergeCell ref="AR25:AV25"/>
    <mergeCell ref="D26:E26"/>
    <mergeCell ref="P26:S26"/>
    <mergeCell ref="T26:W26"/>
    <mergeCell ref="X26:AA26"/>
    <mergeCell ref="AB26:AE26"/>
    <mergeCell ref="AF26:AI26"/>
    <mergeCell ref="AJ26:AM26"/>
    <mergeCell ref="AN26:AQ26"/>
    <mergeCell ref="AR26:AV26"/>
    <mergeCell ref="D25:E25"/>
    <mergeCell ref="F25:O25"/>
    <mergeCell ref="P25:S25"/>
    <mergeCell ref="T25:W25"/>
    <mergeCell ref="X25:AA25"/>
    <mergeCell ref="AB25:AE25"/>
    <mergeCell ref="AF25:AI25"/>
    <mergeCell ref="AJ25:AM25"/>
    <mergeCell ref="AN25:AQ25"/>
    <mergeCell ref="D27:E27"/>
    <mergeCell ref="P27:S27"/>
    <mergeCell ref="T27:W27"/>
    <mergeCell ref="X27:AA27"/>
    <mergeCell ref="AB27:AE27"/>
    <mergeCell ref="AF27:AI27"/>
    <mergeCell ref="AJ27:AM27"/>
    <mergeCell ref="AN27:AQ27"/>
    <mergeCell ref="AR27:AV27"/>
    <mergeCell ref="D28:E28"/>
    <mergeCell ref="P28:S28"/>
    <mergeCell ref="T28:W28"/>
    <mergeCell ref="X28:AA28"/>
    <mergeCell ref="AB28:AE28"/>
    <mergeCell ref="AF28:AI28"/>
    <mergeCell ref="AJ28:AM28"/>
    <mergeCell ref="AN28:AQ28"/>
    <mergeCell ref="AR28:AV28"/>
    <mergeCell ref="D29:E29"/>
    <mergeCell ref="P29:S29"/>
    <mergeCell ref="T29:W29"/>
    <mergeCell ref="X29:AA29"/>
    <mergeCell ref="AB29:AE29"/>
    <mergeCell ref="AF29:AI29"/>
    <mergeCell ref="AJ29:AM29"/>
    <mergeCell ref="AN29:AQ29"/>
    <mergeCell ref="AR29:AV29"/>
    <mergeCell ref="D30:E30"/>
    <mergeCell ref="P30:S30"/>
    <mergeCell ref="T30:W30"/>
    <mergeCell ref="X30:AA30"/>
    <mergeCell ref="AB30:AE30"/>
    <mergeCell ref="AF30:AI30"/>
    <mergeCell ref="AJ30:AM30"/>
    <mergeCell ref="AN30:AQ30"/>
    <mergeCell ref="AR30:AV30"/>
    <mergeCell ref="D31:E31"/>
    <mergeCell ref="P31:S31"/>
    <mergeCell ref="T31:W31"/>
    <mergeCell ref="X31:AA31"/>
    <mergeCell ref="AB31:AE31"/>
    <mergeCell ref="AF31:AI31"/>
    <mergeCell ref="AJ31:AM31"/>
    <mergeCell ref="AN31:AQ31"/>
    <mergeCell ref="AR31:AV31"/>
    <mergeCell ref="D32:E32"/>
    <mergeCell ref="P32:S32"/>
    <mergeCell ref="T32:W32"/>
    <mergeCell ref="X32:AA32"/>
    <mergeCell ref="AB32:AE32"/>
    <mergeCell ref="AF32:AI32"/>
    <mergeCell ref="AJ32:AM32"/>
    <mergeCell ref="AN32:AQ32"/>
    <mergeCell ref="AR32:AV32"/>
    <mergeCell ref="D33:E33"/>
    <mergeCell ref="P33:S33"/>
    <mergeCell ref="T33:W33"/>
    <mergeCell ref="X33:AA33"/>
    <mergeCell ref="AB33:AE33"/>
    <mergeCell ref="AF33:AI33"/>
    <mergeCell ref="AJ33:AM33"/>
    <mergeCell ref="AN33:AQ33"/>
    <mergeCell ref="AR33:AV33"/>
    <mergeCell ref="D34:E34"/>
    <mergeCell ref="P34:S34"/>
    <mergeCell ref="T34:W34"/>
    <mergeCell ref="X34:AA34"/>
    <mergeCell ref="AB34:AE34"/>
    <mergeCell ref="AF34:AI34"/>
    <mergeCell ref="AJ34:AM34"/>
    <mergeCell ref="AN34:AQ34"/>
    <mergeCell ref="AR34:AV34"/>
    <mergeCell ref="D35:E35"/>
    <mergeCell ref="P35:S35"/>
    <mergeCell ref="T35:W35"/>
    <mergeCell ref="X35:AA35"/>
    <mergeCell ref="AB35:AE35"/>
    <mergeCell ref="AF35:AI35"/>
    <mergeCell ref="AJ35:AM35"/>
    <mergeCell ref="AN35:AQ35"/>
    <mergeCell ref="AR35:AV35"/>
    <mergeCell ref="D36:E36"/>
    <mergeCell ref="P36:S36"/>
    <mergeCell ref="T36:W36"/>
    <mergeCell ref="X36:AA36"/>
    <mergeCell ref="AB36:AE36"/>
    <mergeCell ref="AF36:AI36"/>
    <mergeCell ref="AJ36:AM36"/>
    <mergeCell ref="AN36:AQ36"/>
    <mergeCell ref="AR36:AV36"/>
    <mergeCell ref="D37:E37"/>
    <mergeCell ref="P37:S37"/>
    <mergeCell ref="T37:W37"/>
    <mergeCell ref="X37:AA37"/>
    <mergeCell ref="AB37:AE37"/>
    <mergeCell ref="AF37:AI37"/>
    <mergeCell ref="AJ37:AM37"/>
    <mergeCell ref="AN37:AQ37"/>
    <mergeCell ref="AR37:AV37"/>
    <mergeCell ref="D38:E38"/>
    <mergeCell ref="P38:S38"/>
    <mergeCell ref="T38:W38"/>
    <mergeCell ref="X38:AA38"/>
    <mergeCell ref="AB38:AE38"/>
    <mergeCell ref="AF38:AI38"/>
    <mergeCell ref="AJ38:AM38"/>
    <mergeCell ref="AN38:AQ38"/>
    <mergeCell ref="AR38:AV38"/>
    <mergeCell ref="D39:E39"/>
    <mergeCell ref="P39:S39"/>
    <mergeCell ref="T39:W39"/>
    <mergeCell ref="X39:AA39"/>
    <mergeCell ref="AB39:AE39"/>
    <mergeCell ref="AF39:AI39"/>
    <mergeCell ref="AJ39:AM39"/>
    <mergeCell ref="AN39:AQ39"/>
    <mergeCell ref="AR39:AV39"/>
    <mergeCell ref="D40:E40"/>
    <mergeCell ref="P40:S40"/>
    <mergeCell ref="T40:W40"/>
    <mergeCell ref="X40:AA40"/>
    <mergeCell ref="AB40:AE40"/>
    <mergeCell ref="AF40:AI40"/>
    <mergeCell ref="AJ40:AM40"/>
    <mergeCell ref="AN40:AQ40"/>
    <mergeCell ref="AR40:AV40"/>
    <mergeCell ref="D41:E41"/>
    <mergeCell ref="P41:S41"/>
    <mergeCell ref="T41:W41"/>
    <mergeCell ref="X41:AA41"/>
    <mergeCell ref="AB41:AE41"/>
    <mergeCell ref="AF41:AI41"/>
    <mergeCell ref="AJ41:AM41"/>
    <mergeCell ref="AN41:AQ41"/>
    <mergeCell ref="AR41:AV41"/>
    <mergeCell ref="D42:E42"/>
    <mergeCell ref="P42:S42"/>
    <mergeCell ref="T42:W42"/>
    <mergeCell ref="X42:AA42"/>
    <mergeCell ref="AB42:AE42"/>
    <mergeCell ref="AF42:AI42"/>
    <mergeCell ref="AJ42:AM42"/>
    <mergeCell ref="AN42:AQ42"/>
    <mergeCell ref="AR42:AV42"/>
    <mergeCell ref="D43:E43"/>
    <mergeCell ref="P43:S43"/>
    <mergeCell ref="T43:W43"/>
    <mergeCell ref="X43:AA43"/>
    <mergeCell ref="AB43:AE43"/>
    <mergeCell ref="AF43:AI43"/>
    <mergeCell ref="AJ43:AM43"/>
    <mergeCell ref="AN43:AQ43"/>
    <mergeCell ref="AR43:AV43"/>
    <mergeCell ref="D44:E44"/>
    <mergeCell ref="P44:S44"/>
    <mergeCell ref="T44:W44"/>
    <mergeCell ref="X44:AA44"/>
    <mergeCell ref="AB44:AE44"/>
    <mergeCell ref="AF44:AI44"/>
    <mergeCell ref="AJ44:AM44"/>
    <mergeCell ref="AN44:AQ44"/>
    <mergeCell ref="AR44:AV44"/>
    <mergeCell ref="D45:E45"/>
    <mergeCell ref="P45:S45"/>
    <mergeCell ref="T45:W45"/>
    <mergeCell ref="X45:AA45"/>
    <mergeCell ref="AB45:AE45"/>
    <mergeCell ref="AF45:AI45"/>
    <mergeCell ref="AJ45:AM45"/>
    <mergeCell ref="AN45:AQ45"/>
    <mergeCell ref="AR45:AV45"/>
    <mergeCell ref="D46:E46"/>
    <mergeCell ref="P46:S46"/>
    <mergeCell ref="T46:W46"/>
    <mergeCell ref="X46:AA46"/>
    <mergeCell ref="AB46:AE46"/>
    <mergeCell ref="AF46:AI46"/>
    <mergeCell ref="AJ46:AM46"/>
    <mergeCell ref="AN46:AQ46"/>
    <mergeCell ref="AR46:AV46"/>
    <mergeCell ref="D47:E47"/>
    <mergeCell ref="P47:S47"/>
    <mergeCell ref="T47:W47"/>
    <mergeCell ref="X47:AA47"/>
    <mergeCell ref="AB47:AE47"/>
    <mergeCell ref="AF47:AI47"/>
    <mergeCell ref="AJ47:AM47"/>
    <mergeCell ref="AN47:AQ47"/>
    <mergeCell ref="AR47:AV47"/>
    <mergeCell ref="D48:E48"/>
    <mergeCell ref="P48:S48"/>
    <mergeCell ref="T48:W48"/>
    <mergeCell ref="X48:AA48"/>
    <mergeCell ref="AB48:AE48"/>
    <mergeCell ref="AF48:AI48"/>
    <mergeCell ref="AJ48:AM48"/>
    <mergeCell ref="AN48:AQ48"/>
    <mergeCell ref="AR48:AV48"/>
    <mergeCell ref="D49:E49"/>
    <mergeCell ref="P49:S49"/>
    <mergeCell ref="T49:W49"/>
    <mergeCell ref="X49:AA49"/>
    <mergeCell ref="AB49:AE49"/>
    <mergeCell ref="AF49:AI49"/>
    <mergeCell ref="AJ49:AM49"/>
    <mergeCell ref="AN49:AQ49"/>
    <mergeCell ref="AR49:AV49"/>
    <mergeCell ref="D50:E50"/>
    <mergeCell ref="P50:S50"/>
    <mergeCell ref="T50:W50"/>
    <mergeCell ref="X50:AA50"/>
    <mergeCell ref="AB50:AE50"/>
    <mergeCell ref="AF50:AI50"/>
    <mergeCell ref="AJ50:AM50"/>
    <mergeCell ref="AN50:AQ50"/>
    <mergeCell ref="AR50:AV50"/>
    <mergeCell ref="D51:E51"/>
    <mergeCell ref="P51:S51"/>
    <mergeCell ref="T51:W51"/>
    <mergeCell ref="X51:AA51"/>
    <mergeCell ref="AB51:AE51"/>
    <mergeCell ref="AF51:AI51"/>
    <mergeCell ref="AJ51:AM51"/>
    <mergeCell ref="AN51:AQ51"/>
    <mergeCell ref="AR51:AV51"/>
    <mergeCell ref="D52:E52"/>
    <mergeCell ref="P52:S52"/>
    <mergeCell ref="T52:W52"/>
    <mergeCell ref="X52:AA52"/>
    <mergeCell ref="AB52:AE52"/>
    <mergeCell ref="AF52:AI52"/>
    <mergeCell ref="AJ52:AM52"/>
    <mergeCell ref="AN52:AQ52"/>
    <mergeCell ref="AR52:AV52"/>
    <mergeCell ref="D53:E53"/>
    <mergeCell ref="P53:S53"/>
    <mergeCell ref="T53:W53"/>
    <mergeCell ref="X53:AA53"/>
    <mergeCell ref="AB53:AE53"/>
    <mergeCell ref="AF53:AI53"/>
    <mergeCell ref="AJ53:AM53"/>
    <mergeCell ref="AN53:AQ53"/>
    <mergeCell ref="AR53:AV53"/>
    <mergeCell ref="D54:E54"/>
    <mergeCell ref="P54:S54"/>
    <mergeCell ref="T54:W54"/>
    <mergeCell ref="X54:AA54"/>
    <mergeCell ref="AB54:AE54"/>
    <mergeCell ref="AF54:AI54"/>
    <mergeCell ref="AJ54:AM54"/>
    <mergeCell ref="AR54:AV54"/>
    <mergeCell ref="D56:E56"/>
    <mergeCell ref="F56:O56"/>
    <mergeCell ref="P56:S56"/>
    <mergeCell ref="T56:W56"/>
    <mergeCell ref="X56:AA56"/>
    <mergeCell ref="AB56:AE56"/>
    <mergeCell ref="AF56:AI56"/>
    <mergeCell ref="AJ56:AM56"/>
    <mergeCell ref="AN56:AQ56"/>
    <mergeCell ref="AR56:AV56"/>
    <mergeCell ref="X59:AA59"/>
    <mergeCell ref="X60:AA60"/>
    <mergeCell ref="X61:AA61"/>
    <mergeCell ref="D62:E62"/>
    <mergeCell ref="F62:S62"/>
    <mergeCell ref="T62:W62"/>
    <mergeCell ref="X62:AA62"/>
    <mergeCell ref="AB62:AC62"/>
    <mergeCell ref="AD62:AQ62"/>
    <mergeCell ref="AR62:AV62"/>
    <mergeCell ref="D63:E63"/>
    <mergeCell ref="T63:W63"/>
    <mergeCell ref="X63:AA63"/>
    <mergeCell ref="AB63:AC63"/>
    <mergeCell ref="AD63:AQ63"/>
    <mergeCell ref="AR63:AV63"/>
    <mergeCell ref="D64:E64"/>
    <mergeCell ref="T64:W64"/>
    <mergeCell ref="X64:AA64"/>
    <mergeCell ref="AB64:AC64"/>
    <mergeCell ref="AD64:AQ64"/>
    <mergeCell ref="AR64:AV64"/>
    <mergeCell ref="D65:E65"/>
    <mergeCell ref="T65:W65"/>
    <mergeCell ref="X65:AA65"/>
    <mergeCell ref="AB65:AC65"/>
    <mergeCell ref="AD65:AQ65"/>
    <mergeCell ref="AR65:AV65"/>
    <mergeCell ref="D66:E66"/>
    <mergeCell ref="T66:W66"/>
    <mergeCell ref="X66:AA66"/>
    <mergeCell ref="AB66:AC66"/>
    <mergeCell ref="AD66:AQ66"/>
    <mergeCell ref="AR66:AV66"/>
    <mergeCell ref="D67:E67"/>
    <mergeCell ref="T67:W67"/>
    <mergeCell ref="X67:AA67"/>
    <mergeCell ref="AB67:AC67"/>
    <mergeCell ref="AD67:AQ67"/>
    <mergeCell ref="AR67:AV67"/>
    <mergeCell ref="D68:E68"/>
    <mergeCell ref="T68:W68"/>
    <mergeCell ref="X68:AA68"/>
    <mergeCell ref="AB68:AC68"/>
    <mergeCell ref="AD68:AQ68"/>
    <mergeCell ref="AR68:AV68"/>
    <mergeCell ref="D69:E69"/>
    <mergeCell ref="T69:W69"/>
    <mergeCell ref="X69:AA69"/>
    <mergeCell ref="AB69:AC69"/>
    <mergeCell ref="AD69:AQ69"/>
    <mergeCell ref="AR69:AV69"/>
    <mergeCell ref="D70:E70"/>
    <mergeCell ref="T70:W70"/>
    <mergeCell ref="X70:AA70"/>
    <mergeCell ref="AB70:AC70"/>
    <mergeCell ref="AD70:AQ70"/>
    <mergeCell ref="AR70:AV70"/>
    <mergeCell ref="D71:E71"/>
    <mergeCell ref="T71:W71"/>
    <mergeCell ref="X71:AA71"/>
    <mergeCell ref="AB71:AC71"/>
    <mergeCell ref="AD71:AQ71"/>
    <mergeCell ref="AR71:AV71"/>
    <mergeCell ref="D72:E72"/>
    <mergeCell ref="T72:W72"/>
    <mergeCell ref="X72:AA72"/>
    <mergeCell ref="AB72:AC72"/>
    <mergeCell ref="AD72:AQ72"/>
    <mergeCell ref="AR72:AV72"/>
    <mergeCell ref="D73:E73"/>
    <mergeCell ref="T73:W73"/>
    <mergeCell ref="X73:AA73"/>
    <mergeCell ref="AB73:AC73"/>
    <mergeCell ref="AD73:AQ73"/>
    <mergeCell ref="AR73:AV73"/>
    <mergeCell ref="D74:E74"/>
    <mergeCell ref="T74:W74"/>
    <mergeCell ref="X74:AA74"/>
    <mergeCell ref="AB74:AC74"/>
    <mergeCell ref="AD74:AQ74"/>
    <mergeCell ref="AR74:AV74"/>
    <mergeCell ref="D75:E75"/>
    <mergeCell ref="T75:W75"/>
    <mergeCell ref="X75:AA75"/>
    <mergeCell ref="AB75:AC75"/>
    <mergeCell ref="AD75:AQ75"/>
    <mergeCell ref="AR75:AV75"/>
    <mergeCell ref="D76:E76"/>
    <mergeCell ref="T76:W76"/>
    <mergeCell ref="X76:AA76"/>
    <mergeCell ref="AB76:AC76"/>
    <mergeCell ref="AD76:AQ76"/>
    <mergeCell ref="AR76:AV76"/>
    <mergeCell ref="D77:E77"/>
    <mergeCell ref="T77:W77"/>
    <mergeCell ref="X77:AA77"/>
    <mergeCell ref="AB77:AC77"/>
    <mergeCell ref="AD77:AQ77"/>
    <mergeCell ref="AR77:AV77"/>
    <mergeCell ref="D78:E78"/>
    <mergeCell ref="T78:W78"/>
    <mergeCell ref="AB78:AC78"/>
    <mergeCell ref="AD78:AQ78"/>
    <mergeCell ref="AR78:AV78"/>
    <mergeCell ref="D79:E79"/>
    <mergeCell ref="T79:W79"/>
    <mergeCell ref="X79:AA79"/>
    <mergeCell ref="AB79:AC79"/>
    <mergeCell ref="AD79:AQ79"/>
    <mergeCell ref="AR79:AV79"/>
    <mergeCell ref="D80:E80"/>
    <mergeCell ref="T80:W80"/>
    <mergeCell ref="AB80:AC80"/>
    <mergeCell ref="AD80:AQ80"/>
    <mergeCell ref="AR80:AV80"/>
    <mergeCell ref="D81:E81"/>
    <mergeCell ref="T81:W81"/>
    <mergeCell ref="AB81:AC81"/>
    <mergeCell ref="AD81:AQ81"/>
    <mergeCell ref="AR81:AV81"/>
    <mergeCell ref="D82:E82"/>
    <mergeCell ref="T82:W82"/>
    <mergeCell ref="AB82:AC82"/>
    <mergeCell ref="AD82:AQ82"/>
    <mergeCell ref="AR82:AV82"/>
    <mergeCell ref="D83:E83"/>
    <mergeCell ref="T83:W83"/>
    <mergeCell ref="AB83:AC83"/>
    <mergeCell ref="AD83:AQ83"/>
    <mergeCell ref="AR83:AV83"/>
    <mergeCell ref="D84:E84"/>
    <mergeCell ref="T84:W84"/>
    <mergeCell ref="AB84:AC84"/>
    <mergeCell ref="AD84:AQ84"/>
    <mergeCell ref="AR84:AV84"/>
    <mergeCell ref="D85:E85"/>
    <mergeCell ref="T85:W85"/>
    <mergeCell ref="AB85:AC85"/>
    <mergeCell ref="AD85:AQ85"/>
    <mergeCell ref="AR85:AV85"/>
    <mergeCell ref="D86:E86"/>
    <mergeCell ref="T86:W86"/>
    <mergeCell ref="AB86:AC86"/>
    <mergeCell ref="AD86:AQ86"/>
    <mergeCell ref="AR86:AV86"/>
    <mergeCell ref="D87:E87"/>
    <mergeCell ref="T87:W87"/>
    <mergeCell ref="AB87:AC87"/>
    <mergeCell ref="AD87:AQ87"/>
    <mergeCell ref="AR87:AV87"/>
    <mergeCell ref="D88:E88"/>
    <mergeCell ref="T88:W88"/>
    <mergeCell ref="AB88:AC88"/>
    <mergeCell ref="AD88:AQ88"/>
    <mergeCell ref="AR88:AV88"/>
    <mergeCell ref="AB89:AC89"/>
    <mergeCell ref="AD89:AQ89"/>
    <mergeCell ref="AR89:AV89"/>
    <mergeCell ref="AB90:AC90"/>
    <mergeCell ref="AD90:AQ90"/>
    <mergeCell ref="AR90:AV90"/>
    <mergeCell ref="AB91:AC91"/>
    <mergeCell ref="AD91:AQ91"/>
    <mergeCell ref="AR91:AV91"/>
    <mergeCell ref="AB92:AC92"/>
    <mergeCell ref="AD92:AQ92"/>
    <mergeCell ref="AR92:AV92"/>
    <mergeCell ref="E3:K4"/>
    <mergeCell ref="AN3:AV5"/>
    <mergeCell ref="D6:L11"/>
    <mergeCell ref="D15:E17"/>
    <mergeCell ref="F15:O17"/>
    <mergeCell ref="P15:S17"/>
    <mergeCell ref="T15:W17"/>
    <mergeCell ref="X15:AA17"/>
    <mergeCell ref="AB15:AE17"/>
    <mergeCell ref="AF15:AI17"/>
    <mergeCell ref="AJ15:AM17"/>
    <mergeCell ref="AN15:AQ17"/>
    <mergeCell ref="AR15:AV17"/>
    <mergeCell ref="D59:E61"/>
    <mergeCell ref="AB59:AC61"/>
    <mergeCell ref="F59:S61"/>
    <mergeCell ref="T59:W61"/>
    <mergeCell ref="AD59:AQ61"/>
    <mergeCell ref="AR59:AV61"/>
    <mergeCell ref="D89:E89"/>
    <mergeCell ref="T89:W8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4"/>
  </sheetPr>
  <dimension ref="D3:AY38"/>
  <sheetViews>
    <sheetView topLeftCell="J1" workbookViewId="0">
      <selection activeCell="AE18" sqref="AE18:AJ18"/>
    </sheetView>
  </sheetViews>
  <sheetFormatPr defaultColWidth="9.1796875" defaultRowHeight="11.5"/>
  <cols>
    <col min="1" max="2" width="9.1796875" style="1"/>
    <col min="3" max="92" width="3.453125" style="1" customWidth="1"/>
    <col min="93" max="16384" width="9.1796875" style="1"/>
  </cols>
  <sheetData>
    <row r="3" spans="4:51">
      <c r="D3" s="3"/>
      <c r="E3" s="233" t="s">
        <v>9</v>
      </c>
      <c r="F3" s="233"/>
      <c r="G3" s="233"/>
      <c r="H3" s="233"/>
      <c r="I3" s="233"/>
      <c r="J3" s="233"/>
      <c r="K3" s="233"/>
      <c r="L3" s="17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92" t="s">
        <v>342</v>
      </c>
      <c r="AR3" s="192"/>
      <c r="AS3" s="192"/>
      <c r="AT3" s="192"/>
      <c r="AU3" s="192"/>
      <c r="AV3" s="192"/>
      <c r="AW3" s="192"/>
      <c r="AX3" s="192"/>
      <c r="AY3" s="193"/>
    </row>
    <row r="4" spans="4:51" ht="18">
      <c r="D4" s="69"/>
      <c r="E4" s="234"/>
      <c r="F4" s="234"/>
      <c r="G4" s="234"/>
      <c r="H4" s="234"/>
      <c r="I4" s="234"/>
      <c r="J4" s="234"/>
      <c r="K4" s="234"/>
      <c r="L4" s="19"/>
      <c r="M4" s="20"/>
      <c r="N4" s="21" t="s">
        <v>1</v>
      </c>
      <c r="O4" s="20"/>
      <c r="P4" s="20"/>
      <c r="Q4" s="20"/>
      <c r="R4" s="20"/>
      <c r="S4" s="20"/>
      <c r="T4" s="20"/>
      <c r="U4" s="20"/>
      <c r="V4" s="20"/>
      <c r="W4" s="20"/>
      <c r="X4" s="20"/>
      <c r="Y4" s="29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194"/>
      <c r="AR4" s="194"/>
      <c r="AS4" s="194"/>
      <c r="AT4" s="194"/>
      <c r="AU4" s="194"/>
      <c r="AV4" s="194"/>
      <c r="AW4" s="194"/>
      <c r="AX4" s="194"/>
      <c r="AY4" s="195"/>
    </row>
    <row r="5" spans="4:51" ht="14">
      <c r="D5" s="5" t="s">
        <v>184</v>
      </c>
      <c r="E5" s="70"/>
      <c r="F5" s="71"/>
      <c r="G5" s="71"/>
      <c r="H5" s="71"/>
      <c r="I5" s="71"/>
      <c r="J5" s="71"/>
      <c r="K5" s="71"/>
      <c r="L5" s="71"/>
      <c r="M5" s="20"/>
      <c r="N5" s="22" t="s">
        <v>185</v>
      </c>
      <c r="O5" s="20"/>
      <c r="P5" s="20"/>
      <c r="Q5" s="20"/>
      <c r="R5" s="20"/>
      <c r="S5" s="20"/>
      <c r="T5" s="20"/>
      <c r="U5" s="20"/>
      <c r="V5" s="20"/>
      <c r="W5" s="20"/>
      <c r="X5" s="20"/>
      <c r="Y5" s="29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194"/>
      <c r="AR5" s="194"/>
      <c r="AS5" s="194"/>
      <c r="AT5" s="194"/>
      <c r="AU5" s="194"/>
      <c r="AV5" s="194"/>
      <c r="AW5" s="194"/>
      <c r="AX5" s="194"/>
      <c r="AY5" s="195"/>
    </row>
    <row r="6" spans="4:51" ht="3" customHeight="1">
      <c r="D6" s="227" t="s">
        <v>343</v>
      </c>
      <c r="E6" s="228"/>
      <c r="F6" s="228"/>
      <c r="G6" s="228"/>
      <c r="H6" s="228"/>
      <c r="I6" s="228"/>
      <c r="J6" s="228"/>
      <c r="K6" s="228"/>
      <c r="L6" s="228"/>
      <c r="M6" s="20"/>
      <c r="N6" s="23"/>
      <c r="O6" s="20"/>
      <c r="P6" s="20"/>
      <c r="Q6" s="20"/>
      <c r="R6" s="20"/>
      <c r="S6" s="20"/>
      <c r="T6" s="20"/>
      <c r="U6" s="20"/>
      <c r="V6" s="20"/>
      <c r="W6" s="20"/>
      <c r="X6" s="20"/>
      <c r="Y6" s="29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30"/>
      <c r="AT6" s="30"/>
      <c r="AU6" s="30"/>
      <c r="AV6" s="30"/>
      <c r="AW6" s="30"/>
      <c r="AX6" s="30"/>
      <c r="AY6" s="31"/>
    </row>
    <row r="7" spans="4:51">
      <c r="D7" s="227"/>
      <c r="E7" s="228"/>
      <c r="F7" s="228"/>
      <c r="G7" s="228"/>
      <c r="H7" s="228"/>
      <c r="I7" s="228"/>
      <c r="J7" s="228"/>
      <c r="K7" s="228"/>
      <c r="L7" s="228"/>
      <c r="M7" s="20"/>
      <c r="N7" s="23" t="s">
        <v>187</v>
      </c>
      <c r="O7" s="20"/>
      <c r="P7" s="20"/>
      <c r="Q7" s="20"/>
      <c r="R7" s="20"/>
      <c r="S7" s="20"/>
      <c r="T7" s="20"/>
      <c r="U7" s="20"/>
      <c r="V7" s="20"/>
      <c r="W7" s="20"/>
      <c r="X7" s="20"/>
      <c r="Y7" s="29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186" t="s">
        <v>188</v>
      </c>
      <c r="AR7" s="186"/>
      <c r="AS7" s="186"/>
      <c r="AT7" s="186"/>
      <c r="AU7" s="186"/>
      <c r="AV7" s="186"/>
      <c r="AW7" s="186"/>
      <c r="AX7" s="186"/>
      <c r="AY7" s="187"/>
    </row>
    <row r="8" spans="4:51" ht="14">
      <c r="D8" s="227"/>
      <c r="E8" s="228"/>
      <c r="F8" s="228"/>
      <c r="G8" s="228"/>
      <c r="H8" s="228"/>
      <c r="I8" s="228"/>
      <c r="J8" s="228"/>
      <c r="K8" s="228"/>
      <c r="L8" s="228"/>
      <c r="M8" s="20"/>
      <c r="N8" s="24"/>
      <c r="O8" s="22" t="s">
        <v>344</v>
      </c>
      <c r="P8" s="20"/>
      <c r="Q8" s="20"/>
      <c r="R8" s="20"/>
      <c r="S8" s="20"/>
      <c r="T8" s="20"/>
      <c r="U8" s="20"/>
      <c r="V8" s="20"/>
      <c r="W8" s="20"/>
      <c r="X8" s="20"/>
      <c r="Y8" s="29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8">
        <f>INDUK1!E14</f>
        <v>2</v>
      </c>
      <c r="AT8" s="28">
        <f>INDUK1!G14</f>
        <v>0</v>
      </c>
      <c r="AU8" s="28">
        <f>INDUK1!I14</f>
        <v>2</v>
      </c>
      <c r="AV8" s="28">
        <f>INDUK1!K14</f>
        <v>5</v>
      </c>
      <c r="AW8" s="30"/>
      <c r="AX8" s="30"/>
      <c r="AY8" s="31"/>
    </row>
    <row r="9" spans="4:51" ht="3" customHeight="1">
      <c r="D9" s="227"/>
      <c r="E9" s="228"/>
      <c r="F9" s="228"/>
      <c r="G9" s="228"/>
      <c r="H9" s="228"/>
      <c r="I9" s="228"/>
      <c r="J9" s="228"/>
      <c r="K9" s="228"/>
      <c r="L9" s="228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9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30"/>
      <c r="AT9" s="30"/>
      <c r="AU9" s="30"/>
      <c r="AV9" s="30"/>
      <c r="AW9" s="30"/>
      <c r="AX9" s="30"/>
      <c r="AY9" s="31"/>
    </row>
    <row r="10" spans="4:51" ht="14">
      <c r="D10" s="227"/>
      <c r="E10" s="228"/>
      <c r="F10" s="228"/>
      <c r="G10" s="228"/>
      <c r="H10" s="228"/>
      <c r="I10" s="228"/>
      <c r="J10" s="228"/>
      <c r="K10" s="228"/>
      <c r="L10" s="228"/>
      <c r="M10" s="20"/>
      <c r="N10" s="25"/>
      <c r="O10" s="25" t="s">
        <v>28</v>
      </c>
      <c r="P10" s="20"/>
      <c r="Q10" s="20"/>
      <c r="R10" s="28">
        <f>INDUK1!AF21</f>
        <v>0</v>
      </c>
      <c r="S10" s="28">
        <f>INDUK1!AG21</f>
        <v>0</v>
      </c>
      <c r="T10" s="28">
        <f>INDUK1!AH21</f>
        <v>0</v>
      </c>
      <c r="U10" s="28">
        <f>INDUK1!AI21</f>
        <v>0</v>
      </c>
      <c r="V10" s="28">
        <f>INDUK1!AJ21</f>
        <v>0</v>
      </c>
      <c r="W10" s="28">
        <f>INDUK1!AK21</f>
        <v>0</v>
      </c>
      <c r="X10" s="28">
        <f>INDUK1!AL21</f>
        <v>0</v>
      </c>
      <c r="Y10" s="28">
        <f>INDUK1!AM21</f>
        <v>0</v>
      </c>
      <c r="Z10" s="28">
        <f>INDUK1!AN21</f>
        <v>0</v>
      </c>
      <c r="AA10" s="28">
        <f>INDUK1!AO21</f>
        <v>0</v>
      </c>
      <c r="AB10" s="28">
        <f>INDUK1!AP21</f>
        <v>0</v>
      </c>
      <c r="AC10" s="28">
        <f>INDUK1!AQ21</f>
        <v>0</v>
      </c>
      <c r="AD10" s="28">
        <f>INDUK1!AR21</f>
        <v>0</v>
      </c>
      <c r="AE10" s="28">
        <f>INDUK1!AS21</f>
        <v>0</v>
      </c>
      <c r="AF10" s="28">
        <f>INDUK1!AT21</f>
        <v>0</v>
      </c>
      <c r="AG10" s="28">
        <f>INDUK1!AU21</f>
        <v>0</v>
      </c>
      <c r="AH10" s="73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30"/>
      <c r="AT10" s="30"/>
      <c r="AU10" s="30"/>
      <c r="AV10" s="30"/>
      <c r="AW10" s="30"/>
      <c r="AX10" s="30"/>
      <c r="AY10" s="31"/>
    </row>
    <row r="11" spans="4:51">
      <c r="D11" s="229"/>
      <c r="E11" s="230"/>
      <c r="F11" s="230"/>
      <c r="G11" s="230"/>
      <c r="H11" s="230"/>
      <c r="I11" s="230"/>
      <c r="J11" s="230"/>
      <c r="K11" s="230"/>
      <c r="L11" s="230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32"/>
    </row>
    <row r="12" spans="4:51" ht="3" customHeight="1"/>
    <row r="13" spans="4:51">
      <c r="D13" s="7" t="s">
        <v>25</v>
      </c>
      <c r="E13" s="8" t="s">
        <v>345</v>
      </c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</row>
    <row r="14" spans="4:51" ht="3" customHeight="1"/>
    <row r="15" spans="4:51">
      <c r="D15" s="151" t="s">
        <v>346</v>
      </c>
      <c r="E15" s="151" t="s">
        <v>30</v>
      </c>
      <c r="F15" s="151"/>
      <c r="G15" s="151"/>
      <c r="H15" s="151"/>
      <c r="I15" s="151"/>
      <c r="J15" s="151"/>
      <c r="K15" s="151"/>
      <c r="L15" s="151"/>
      <c r="M15" s="151" t="s">
        <v>347</v>
      </c>
      <c r="N15" s="151"/>
      <c r="O15" s="151"/>
      <c r="P15" s="151"/>
      <c r="Q15" s="151"/>
      <c r="R15" s="151"/>
      <c r="S15" s="151"/>
      <c r="T15" s="151"/>
      <c r="U15" s="151" t="s">
        <v>348</v>
      </c>
      <c r="V15" s="151"/>
      <c r="W15" s="151"/>
      <c r="X15" s="151"/>
      <c r="Y15" s="151" t="s">
        <v>349</v>
      </c>
      <c r="Z15" s="151"/>
      <c r="AA15" s="151"/>
      <c r="AB15" s="151"/>
      <c r="AC15" s="151"/>
      <c r="AD15" s="151"/>
      <c r="AE15" s="151" t="s">
        <v>182</v>
      </c>
      <c r="AF15" s="151"/>
      <c r="AG15" s="151"/>
      <c r="AH15" s="151"/>
      <c r="AI15" s="151"/>
      <c r="AJ15" s="151"/>
      <c r="AK15" s="185" t="s">
        <v>350</v>
      </c>
      <c r="AL15" s="185"/>
      <c r="AM15" s="185"/>
      <c r="AN15" s="185"/>
      <c r="AO15" s="185"/>
      <c r="AP15" s="185"/>
      <c r="AQ15" s="151" t="s">
        <v>82</v>
      </c>
      <c r="AR15" s="151"/>
      <c r="AS15" s="185" t="s">
        <v>351</v>
      </c>
      <c r="AT15" s="185"/>
      <c r="AU15" s="185"/>
      <c r="AV15" s="185"/>
      <c r="AW15" s="185"/>
      <c r="AX15" s="185"/>
      <c r="AY15" s="185"/>
    </row>
    <row r="16" spans="4:51">
      <c r="D16" s="151"/>
      <c r="E16" s="151"/>
      <c r="F16" s="151"/>
      <c r="G16" s="151"/>
      <c r="H16" s="151"/>
      <c r="I16" s="151"/>
      <c r="J16" s="151"/>
      <c r="K16" s="151"/>
      <c r="L16" s="151"/>
      <c r="M16" s="151"/>
      <c r="N16" s="151"/>
      <c r="O16" s="151"/>
      <c r="P16" s="151"/>
      <c r="Q16" s="151"/>
      <c r="R16" s="151"/>
      <c r="S16" s="151"/>
      <c r="T16" s="151"/>
      <c r="U16" s="151"/>
      <c r="V16" s="151"/>
      <c r="W16" s="151"/>
      <c r="X16" s="151"/>
      <c r="Y16" s="151"/>
      <c r="Z16" s="151"/>
      <c r="AA16" s="151"/>
      <c r="AB16" s="151"/>
      <c r="AC16" s="151"/>
      <c r="AD16" s="151"/>
      <c r="AE16" s="151"/>
      <c r="AF16" s="151"/>
      <c r="AG16" s="151"/>
      <c r="AH16" s="151"/>
      <c r="AI16" s="151"/>
      <c r="AJ16" s="151"/>
      <c r="AK16" s="159" t="s">
        <v>352</v>
      </c>
      <c r="AL16" s="159"/>
      <c r="AM16" s="159"/>
      <c r="AN16" s="159"/>
      <c r="AO16" s="159"/>
      <c r="AP16" s="159"/>
      <c r="AQ16" s="151"/>
      <c r="AR16" s="151"/>
      <c r="AS16" s="159" t="s">
        <v>353</v>
      </c>
      <c r="AT16" s="159"/>
      <c r="AU16" s="159"/>
      <c r="AV16" s="159"/>
      <c r="AW16" s="159"/>
      <c r="AX16" s="159"/>
      <c r="AY16" s="159"/>
    </row>
    <row r="17" spans="4:51">
      <c r="D17" s="128" t="s">
        <v>201</v>
      </c>
      <c r="E17" s="162" t="s">
        <v>202</v>
      </c>
      <c r="F17" s="161"/>
      <c r="G17" s="161"/>
      <c r="H17" s="161"/>
      <c r="I17" s="161"/>
      <c r="J17" s="161"/>
      <c r="K17" s="161"/>
      <c r="L17" s="161"/>
      <c r="M17" s="162" t="s">
        <v>203</v>
      </c>
      <c r="N17" s="161"/>
      <c r="O17" s="161"/>
      <c r="P17" s="161"/>
      <c r="Q17" s="161"/>
      <c r="R17" s="161"/>
      <c r="S17" s="161"/>
      <c r="T17" s="161"/>
      <c r="U17" s="162" t="s">
        <v>204</v>
      </c>
      <c r="V17" s="161"/>
      <c r="W17" s="161"/>
      <c r="X17" s="161"/>
      <c r="Y17" s="162" t="s">
        <v>205</v>
      </c>
      <c r="Z17" s="161"/>
      <c r="AA17" s="161"/>
      <c r="AB17" s="161"/>
      <c r="AC17" s="161"/>
      <c r="AD17" s="161"/>
      <c r="AE17" s="162" t="s">
        <v>354</v>
      </c>
      <c r="AF17" s="161"/>
      <c r="AG17" s="161"/>
      <c r="AH17" s="161"/>
      <c r="AI17" s="161"/>
      <c r="AJ17" s="161"/>
      <c r="AK17" s="162" t="s">
        <v>207</v>
      </c>
      <c r="AL17" s="161"/>
      <c r="AM17" s="161"/>
      <c r="AN17" s="161"/>
      <c r="AO17" s="161"/>
      <c r="AP17" s="161"/>
      <c r="AQ17" s="162" t="s">
        <v>208</v>
      </c>
      <c r="AR17" s="161"/>
      <c r="AS17" s="162" t="s">
        <v>209</v>
      </c>
      <c r="AT17" s="161"/>
      <c r="AU17" s="161"/>
      <c r="AV17" s="161"/>
      <c r="AW17" s="161"/>
      <c r="AX17" s="161"/>
      <c r="AY17" s="161"/>
    </row>
    <row r="18" spans="4:51">
      <c r="D18" s="72"/>
      <c r="E18" s="235"/>
      <c r="F18" s="235"/>
      <c r="G18" s="235"/>
      <c r="H18" s="235"/>
      <c r="I18" s="235"/>
      <c r="J18" s="235"/>
      <c r="K18" s="235"/>
      <c r="L18" s="235"/>
      <c r="M18" s="235"/>
      <c r="N18" s="235"/>
      <c r="O18" s="235"/>
      <c r="P18" s="235"/>
      <c r="Q18" s="235"/>
      <c r="R18" s="235"/>
      <c r="S18" s="235"/>
      <c r="T18" s="235"/>
      <c r="U18" s="235"/>
      <c r="V18" s="235"/>
      <c r="W18" s="235"/>
      <c r="X18" s="235"/>
      <c r="Y18" s="235"/>
      <c r="Z18" s="235"/>
      <c r="AA18" s="235"/>
      <c r="AB18" s="235"/>
      <c r="AC18" s="235"/>
      <c r="AD18" s="235"/>
      <c r="AE18" s="235"/>
      <c r="AF18" s="235"/>
      <c r="AG18" s="235"/>
      <c r="AH18" s="235"/>
      <c r="AI18" s="235"/>
      <c r="AJ18" s="235"/>
      <c r="AK18" s="232"/>
      <c r="AL18" s="232"/>
      <c r="AM18" s="232"/>
      <c r="AN18" s="232"/>
      <c r="AO18" s="232"/>
      <c r="AP18" s="232"/>
      <c r="AQ18" s="231"/>
      <c r="AR18" s="231"/>
      <c r="AS18" s="232"/>
      <c r="AT18" s="232"/>
      <c r="AU18" s="232"/>
      <c r="AV18" s="232"/>
      <c r="AW18" s="232"/>
      <c r="AX18" s="232"/>
      <c r="AY18" s="232"/>
    </row>
    <row r="19" spans="4:51">
      <c r="D19" s="72"/>
      <c r="E19" s="235"/>
      <c r="F19" s="235"/>
      <c r="G19" s="235"/>
      <c r="H19" s="235"/>
      <c r="I19" s="235"/>
      <c r="J19" s="235"/>
      <c r="K19" s="235"/>
      <c r="L19" s="235"/>
      <c r="M19" s="235"/>
      <c r="N19" s="235"/>
      <c r="O19" s="235"/>
      <c r="P19" s="235"/>
      <c r="Q19" s="235"/>
      <c r="R19" s="235"/>
      <c r="S19" s="235"/>
      <c r="T19" s="235"/>
      <c r="U19" s="235"/>
      <c r="V19" s="235"/>
      <c r="W19" s="235"/>
      <c r="X19" s="235"/>
      <c r="Y19" s="235"/>
      <c r="Z19" s="235"/>
      <c r="AA19" s="235"/>
      <c r="AB19" s="235"/>
      <c r="AC19" s="235"/>
      <c r="AD19" s="235"/>
      <c r="AE19" s="235"/>
      <c r="AF19" s="235"/>
      <c r="AG19" s="235"/>
      <c r="AH19" s="235"/>
      <c r="AI19" s="235"/>
      <c r="AJ19" s="235"/>
      <c r="AK19" s="232"/>
      <c r="AL19" s="232"/>
      <c r="AM19" s="232"/>
      <c r="AN19" s="232"/>
      <c r="AO19" s="232"/>
      <c r="AP19" s="232"/>
      <c r="AQ19" s="231"/>
      <c r="AR19" s="231"/>
      <c r="AS19" s="232"/>
      <c r="AT19" s="232"/>
      <c r="AU19" s="232"/>
      <c r="AV19" s="232"/>
      <c r="AW19" s="232"/>
      <c r="AX19" s="232"/>
      <c r="AY19" s="232"/>
    </row>
    <row r="20" spans="4:51">
      <c r="D20" s="72"/>
      <c r="E20" s="235"/>
      <c r="F20" s="235"/>
      <c r="G20" s="235"/>
      <c r="H20" s="235"/>
      <c r="I20" s="235"/>
      <c r="J20" s="235"/>
      <c r="K20" s="235"/>
      <c r="L20" s="235"/>
      <c r="M20" s="235"/>
      <c r="N20" s="235"/>
      <c r="O20" s="235"/>
      <c r="P20" s="235"/>
      <c r="Q20" s="235"/>
      <c r="R20" s="235"/>
      <c r="S20" s="235"/>
      <c r="T20" s="235"/>
      <c r="U20" s="235"/>
      <c r="V20" s="235"/>
      <c r="W20" s="235"/>
      <c r="X20" s="235"/>
      <c r="Y20" s="235"/>
      <c r="Z20" s="235"/>
      <c r="AA20" s="235"/>
      <c r="AB20" s="235"/>
      <c r="AC20" s="235"/>
      <c r="AD20" s="235"/>
      <c r="AE20" s="235"/>
      <c r="AF20" s="235"/>
      <c r="AG20" s="235"/>
      <c r="AH20" s="235"/>
      <c r="AI20" s="235"/>
      <c r="AJ20" s="235"/>
      <c r="AK20" s="232"/>
      <c r="AL20" s="232"/>
      <c r="AM20" s="232"/>
      <c r="AN20" s="232"/>
      <c r="AO20" s="232"/>
      <c r="AP20" s="232"/>
      <c r="AQ20" s="231"/>
      <c r="AR20" s="231"/>
      <c r="AS20" s="232"/>
      <c r="AT20" s="232"/>
      <c r="AU20" s="232"/>
      <c r="AV20" s="232"/>
      <c r="AW20" s="232"/>
      <c r="AX20" s="232"/>
      <c r="AY20" s="232"/>
    </row>
    <row r="21" spans="4:51">
      <c r="D21" s="72"/>
      <c r="E21" s="235"/>
      <c r="F21" s="235"/>
      <c r="G21" s="235"/>
      <c r="H21" s="235"/>
      <c r="I21" s="235"/>
      <c r="J21" s="235"/>
      <c r="K21" s="235"/>
      <c r="L21" s="235"/>
      <c r="M21" s="235"/>
      <c r="N21" s="235"/>
      <c r="O21" s="235"/>
      <c r="P21" s="235"/>
      <c r="Q21" s="235"/>
      <c r="R21" s="235"/>
      <c r="S21" s="235"/>
      <c r="T21" s="235"/>
      <c r="U21" s="235"/>
      <c r="V21" s="235"/>
      <c r="W21" s="235"/>
      <c r="X21" s="235"/>
      <c r="Y21" s="235"/>
      <c r="Z21" s="235"/>
      <c r="AA21" s="235"/>
      <c r="AB21" s="235"/>
      <c r="AC21" s="235"/>
      <c r="AD21" s="235"/>
      <c r="AE21" s="235"/>
      <c r="AF21" s="235"/>
      <c r="AG21" s="235"/>
      <c r="AH21" s="235"/>
      <c r="AI21" s="235"/>
      <c r="AJ21" s="235"/>
      <c r="AK21" s="232"/>
      <c r="AL21" s="232"/>
      <c r="AM21" s="232"/>
      <c r="AN21" s="232"/>
      <c r="AO21" s="232"/>
      <c r="AP21" s="232"/>
      <c r="AQ21" s="231"/>
      <c r="AR21" s="231"/>
      <c r="AS21" s="232"/>
      <c r="AT21" s="232"/>
      <c r="AU21" s="232"/>
      <c r="AV21" s="232"/>
      <c r="AW21" s="232"/>
      <c r="AX21" s="232"/>
      <c r="AY21" s="232"/>
    </row>
    <row r="22" spans="4:51">
      <c r="D22" s="72"/>
      <c r="E22" s="235"/>
      <c r="F22" s="235"/>
      <c r="G22" s="235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5"/>
      <c r="W22" s="235"/>
      <c r="X22" s="235"/>
      <c r="Y22" s="235"/>
      <c r="Z22" s="235"/>
      <c r="AA22" s="235"/>
      <c r="AB22" s="235"/>
      <c r="AC22" s="235"/>
      <c r="AD22" s="235"/>
      <c r="AE22" s="235"/>
      <c r="AF22" s="235"/>
      <c r="AG22" s="235"/>
      <c r="AH22" s="235"/>
      <c r="AI22" s="235"/>
      <c r="AJ22" s="235"/>
      <c r="AK22" s="232"/>
      <c r="AL22" s="232"/>
      <c r="AM22" s="232"/>
      <c r="AN22" s="232"/>
      <c r="AO22" s="232"/>
      <c r="AP22" s="232"/>
      <c r="AQ22" s="231"/>
      <c r="AR22" s="231"/>
      <c r="AS22" s="232"/>
      <c r="AT22" s="232"/>
      <c r="AU22" s="232"/>
      <c r="AV22" s="232"/>
      <c r="AW22" s="232"/>
      <c r="AX22" s="232"/>
      <c r="AY22" s="232"/>
    </row>
    <row r="23" spans="4:51">
      <c r="D23" s="161" t="s">
        <v>355</v>
      </c>
      <c r="E23" s="161"/>
      <c r="F23" s="161"/>
      <c r="G23" s="161"/>
      <c r="H23" s="161"/>
      <c r="I23" s="161"/>
      <c r="J23" s="161"/>
      <c r="K23" s="161"/>
      <c r="L23" s="161"/>
      <c r="M23" s="161"/>
      <c r="N23" s="161"/>
      <c r="O23" s="161"/>
      <c r="P23" s="161"/>
      <c r="Q23" s="161"/>
      <c r="R23" s="161"/>
      <c r="S23" s="161"/>
      <c r="T23" s="161"/>
      <c r="U23" s="161"/>
      <c r="V23" s="161"/>
      <c r="W23" s="161"/>
      <c r="X23" s="161"/>
      <c r="Y23" s="161"/>
      <c r="Z23" s="161"/>
      <c r="AA23" s="161"/>
      <c r="AB23" s="161"/>
      <c r="AC23" s="161"/>
      <c r="AD23" s="161"/>
      <c r="AE23" s="161"/>
      <c r="AF23" s="161"/>
      <c r="AG23" s="161"/>
      <c r="AH23" s="161"/>
      <c r="AI23" s="161"/>
      <c r="AJ23" s="161"/>
      <c r="AK23" s="232">
        <f>SUM(AK18:AK22)</f>
        <v>0</v>
      </c>
      <c r="AL23" s="232"/>
      <c r="AM23" s="232"/>
      <c r="AN23" s="232"/>
      <c r="AO23" s="232"/>
      <c r="AP23" s="232"/>
      <c r="AQ23" s="231">
        <f>SUM(AQ18:AQ22)</f>
        <v>0</v>
      </c>
      <c r="AR23" s="231"/>
      <c r="AS23" s="232">
        <f>SUM(AS18:AS22)</f>
        <v>0</v>
      </c>
      <c r="AT23" s="232"/>
      <c r="AU23" s="232"/>
      <c r="AV23" s="232"/>
      <c r="AW23" s="232"/>
      <c r="AX23" s="232"/>
      <c r="AY23" s="232"/>
    </row>
    <row r="25" spans="4:51">
      <c r="D25" s="7" t="s">
        <v>35</v>
      </c>
      <c r="E25" s="8" t="s">
        <v>356</v>
      </c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</row>
    <row r="26" spans="4:51" ht="3" customHeight="1"/>
    <row r="27" spans="4:51">
      <c r="D27" s="151" t="s">
        <v>346</v>
      </c>
      <c r="E27" s="151" t="s">
        <v>30</v>
      </c>
      <c r="F27" s="151"/>
      <c r="G27" s="151"/>
      <c r="H27" s="151"/>
      <c r="I27" s="151"/>
      <c r="J27" s="151"/>
      <c r="K27" s="151"/>
      <c r="L27" s="151"/>
      <c r="M27" s="151" t="s">
        <v>348</v>
      </c>
      <c r="N27" s="151"/>
      <c r="O27" s="151"/>
      <c r="P27" s="151"/>
      <c r="Q27" s="151" t="s">
        <v>349</v>
      </c>
      <c r="R27" s="151"/>
      <c r="S27" s="151"/>
      <c r="T27" s="151"/>
      <c r="U27" s="151"/>
      <c r="V27" s="151"/>
      <c r="W27" s="249" t="s">
        <v>357</v>
      </c>
      <c r="X27" s="161"/>
      <c r="Y27" s="161"/>
      <c r="Z27" s="161"/>
      <c r="AA27" s="161"/>
      <c r="AB27" s="161"/>
      <c r="AC27" s="161" t="s">
        <v>358</v>
      </c>
      <c r="AD27" s="161"/>
      <c r="AE27" s="161"/>
      <c r="AF27" s="161"/>
      <c r="AG27" s="161"/>
      <c r="AH27" s="161"/>
      <c r="AI27" s="161"/>
      <c r="AJ27" s="161"/>
      <c r="AK27" s="161"/>
      <c r="AL27" s="161"/>
      <c r="AM27" s="161"/>
      <c r="AN27" s="161" t="s">
        <v>359</v>
      </c>
      <c r="AO27" s="161"/>
      <c r="AP27" s="161"/>
      <c r="AQ27" s="161"/>
      <c r="AR27" s="161"/>
      <c r="AS27" s="161"/>
      <c r="AT27" s="161"/>
      <c r="AU27" s="161"/>
      <c r="AV27" s="161"/>
      <c r="AW27" s="161"/>
      <c r="AX27" s="161"/>
      <c r="AY27" s="161"/>
    </row>
    <row r="28" spans="4:51">
      <c r="D28" s="151"/>
      <c r="E28" s="151"/>
      <c r="F28" s="151"/>
      <c r="G28" s="151"/>
      <c r="H28" s="151"/>
      <c r="I28" s="151"/>
      <c r="J28" s="151"/>
      <c r="K28" s="151"/>
      <c r="L28" s="151"/>
      <c r="M28" s="151"/>
      <c r="N28" s="151"/>
      <c r="O28" s="151"/>
      <c r="P28" s="151"/>
      <c r="Q28" s="151"/>
      <c r="R28" s="151"/>
      <c r="S28" s="151"/>
      <c r="T28" s="151"/>
      <c r="U28" s="151"/>
      <c r="V28" s="151"/>
      <c r="W28" s="249" t="s">
        <v>352</v>
      </c>
      <c r="X28" s="161"/>
      <c r="Y28" s="161"/>
      <c r="Z28" s="161"/>
      <c r="AA28" s="161" t="s">
        <v>82</v>
      </c>
      <c r="AB28" s="161"/>
      <c r="AC28" s="161" t="s">
        <v>352</v>
      </c>
      <c r="AD28" s="161"/>
      <c r="AE28" s="161"/>
      <c r="AF28" s="161"/>
      <c r="AG28" s="161"/>
      <c r="AH28" s="161" t="s">
        <v>178</v>
      </c>
      <c r="AI28" s="161"/>
      <c r="AJ28" s="161" t="s">
        <v>360</v>
      </c>
      <c r="AK28" s="161"/>
      <c r="AL28" s="161"/>
      <c r="AM28" s="161"/>
      <c r="AN28" s="161" t="s">
        <v>352</v>
      </c>
      <c r="AO28" s="161"/>
      <c r="AP28" s="161"/>
      <c r="AQ28" s="161"/>
      <c r="AR28" s="161"/>
      <c r="AS28" s="161"/>
      <c r="AT28" s="161" t="s">
        <v>178</v>
      </c>
      <c r="AU28" s="161"/>
      <c r="AV28" s="161" t="s">
        <v>360</v>
      </c>
      <c r="AW28" s="161"/>
      <c r="AX28" s="161"/>
      <c r="AY28" s="161"/>
    </row>
    <row r="29" spans="4:51">
      <c r="D29" s="128" t="s">
        <v>201</v>
      </c>
      <c r="E29" s="162" t="s">
        <v>202</v>
      </c>
      <c r="F29" s="161"/>
      <c r="G29" s="161"/>
      <c r="H29" s="161"/>
      <c r="I29" s="161"/>
      <c r="J29" s="161"/>
      <c r="K29" s="161"/>
      <c r="L29" s="161"/>
      <c r="M29" s="162" t="s">
        <v>203</v>
      </c>
      <c r="N29" s="161"/>
      <c r="O29" s="161"/>
      <c r="P29" s="161"/>
      <c r="Q29" s="162" t="s">
        <v>204</v>
      </c>
      <c r="R29" s="161"/>
      <c r="S29" s="161"/>
      <c r="T29" s="161"/>
      <c r="U29" s="161"/>
      <c r="V29" s="161"/>
      <c r="W29" s="160" t="s">
        <v>205</v>
      </c>
      <c r="X29" s="161"/>
      <c r="Y29" s="161"/>
      <c r="Z29" s="161"/>
      <c r="AA29" s="162" t="s">
        <v>354</v>
      </c>
      <c r="AB29" s="161"/>
      <c r="AC29" s="162" t="s">
        <v>207</v>
      </c>
      <c r="AD29" s="161"/>
      <c r="AE29" s="161"/>
      <c r="AF29" s="161"/>
      <c r="AG29" s="161"/>
      <c r="AH29" s="162" t="s">
        <v>208</v>
      </c>
      <c r="AI29" s="161"/>
      <c r="AJ29" s="162" t="s">
        <v>209</v>
      </c>
      <c r="AK29" s="161"/>
      <c r="AL29" s="161"/>
      <c r="AM29" s="161"/>
      <c r="AN29" s="162" t="s">
        <v>210</v>
      </c>
      <c r="AO29" s="161"/>
      <c r="AP29" s="161"/>
      <c r="AQ29" s="161"/>
      <c r="AR29" s="161"/>
      <c r="AS29" s="161"/>
      <c r="AT29" s="162" t="s">
        <v>361</v>
      </c>
      <c r="AU29" s="161"/>
      <c r="AV29" s="162" t="s">
        <v>362</v>
      </c>
      <c r="AW29" s="161"/>
      <c r="AX29" s="161"/>
      <c r="AY29" s="161"/>
    </row>
    <row r="30" spans="4:51">
      <c r="D30" s="33"/>
      <c r="E30" s="231"/>
      <c r="F30" s="231"/>
      <c r="G30" s="231"/>
      <c r="H30" s="231"/>
      <c r="I30" s="231"/>
      <c r="J30" s="231"/>
      <c r="K30" s="231"/>
      <c r="L30" s="231"/>
      <c r="M30" s="231"/>
      <c r="N30" s="231"/>
      <c r="O30" s="231"/>
      <c r="P30" s="231"/>
      <c r="Q30" s="231"/>
      <c r="R30" s="231"/>
      <c r="S30" s="231"/>
      <c r="T30" s="231"/>
      <c r="U30" s="231"/>
      <c r="V30" s="231"/>
      <c r="W30" s="248"/>
      <c r="X30" s="231"/>
      <c r="Y30" s="231"/>
      <c r="Z30" s="231"/>
      <c r="AA30" s="231"/>
      <c r="AB30" s="231"/>
      <c r="AC30" s="176"/>
      <c r="AD30" s="176"/>
      <c r="AE30" s="176"/>
      <c r="AF30" s="176"/>
      <c r="AG30" s="176"/>
      <c r="AH30" s="231"/>
      <c r="AI30" s="231"/>
      <c r="AJ30" s="231"/>
      <c r="AK30" s="231"/>
      <c r="AL30" s="231"/>
      <c r="AM30" s="231"/>
      <c r="AN30" s="176"/>
      <c r="AO30" s="176"/>
      <c r="AP30" s="176"/>
      <c r="AQ30" s="176"/>
      <c r="AR30" s="176"/>
      <c r="AS30" s="176"/>
      <c r="AT30" s="231"/>
      <c r="AU30" s="231"/>
      <c r="AV30" s="231"/>
      <c r="AW30" s="231"/>
      <c r="AX30" s="231"/>
      <c r="AY30" s="231"/>
    </row>
    <row r="31" spans="4:51">
      <c r="D31" s="33"/>
      <c r="E31" s="231"/>
      <c r="F31" s="231"/>
      <c r="G31" s="231"/>
      <c r="H31" s="231"/>
      <c r="I31" s="231"/>
      <c r="J31" s="231"/>
      <c r="K31" s="231"/>
      <c r="L31" s="231"/>
      <c r="M31" s="231"/>
      <c r="N31" s="231"/>
      <c r="O31" s="231"/>
      <c r="P31" s="231"/>
      <c r="Q31" s="231"/>
      <c r="R31" s="231"/>
      <c r="S31" s="231"/>
      <c r="T31" s="231"/>
      <c r="U31" s="231"/>
      <c r="V31" s="231"/>
      <c r="W31" s="248"/>
      <c r="X31" s="231"/>
      <c r="Y31" s="231"/>
      <c r="Z31" s="231"/>
      <c r="AA31" s="231"/>
      <c r="AB31" s="231"/>
      <c r="AC31" s="176"/>
      <c r="AD31" s="176"/>
      <c r="AE31" s="176"/>
      <c r="AF31" s="176"/>
      <c r="AG31" s="176"/>
      <c r="AH31" s="231"/>
      <c r="AI31" s="231"/>
      <c r="AJ31" s="231"/>
      <c r="AK31" s="231"/>
      <c r="AL31" s="231"/>
      <c r="AM31" s="231"/>
      <c r="AN31" s="176"/>
      <c r="AO31" s="176"/>
      <c r="AP31" s="176"/>
      <c r="AQ31" s="176"/>
      <c r="AR31" s="176"/>
      <c r="AS31" s="176"/>
      <c r="AT31" s="231"/>
      <c r="AU31" s="231"/>
      <c r="AV31" s="231"/>
      <c r="AW31" s="231"/>
      <c r="AX31" s="231"/>
      <c r="AY31" s="231"/>
    </row>
    <row r="32" spans="4:51">
      <c r="D32" s="33"/>
      <c r="E32" s="231"/>
      <c r="F32" s="231"/>
      <c r="G32" s="231"/>
      <c r="H32" s="231"/>
      <c r="I32" s="231"/>
      <c r="J32" s="231"/>
      <c r="K32" s="231"/>
      <c r="L32" s="231"/>
      <c r="M32" s="231"/>
      <c r="N32" s="231"/>
      <c r="O32" s="231"/>
      <c r="P32" s="231"/>
      <c r="Q32" s="231"/>
      <c r="R32" s="231"/>
      <c r="S32" s="231"/>
      <c r="T32" s="231"/>
      <c r="U32" s="231"/>
      <c r="V32" s="231"/>
      <c r="W32" s="248"/>
      <c r="X32" s="231"/>
      <c r="Y32" s="231"/>
      <c r="Z32" s="231"/>
      <c r="AA32" s="231"/>
      <c r="AB32" s="231"/>
      <c r="AC32" s="176"/>
      <c r="AD32" s="176"/>
      <c r="AE32" s="176"/>
      <c r="AF32" s="176"/>
      <c r="AG32" s="176"/>
      <c r="AH32" s="231"/>
      <c r="AI32" s="231"/>
      <c r="AJ32" s="231"/>
      <c r="AK32" s="231"/>
      <c r="AL32" s="231"/>
      <c r="AM32" s="231"/>
      <c r="AN32" s="176"/>
      <c r="AO32" s="176"/>
      <c r="AP32" s="176"/>
      <c r="AQ32" s="176"/>
      <c r="AR32" s="176"/>
      <c r="AS32" s="176"/>
      <c r="AT32" s="231"/>
      <c r="AU32" s="231"/>
      <c r="AV32" s="231"/>
      <c r="AW32" s="231"/>
      <c r="AX32" s="231"/>
      <c r="AY32" s="231"/>
    </row>
    <row r="33" spans="4:51">
      <c r="D33" s="33"/>
      <c r="E33" s="231"/>
      <c r="F33" s="231"/>
      <c r="G33" s="231"/>
      <c r="H33" s="231"/>
      <c r="I33" s="231"/>
      <c r="J33" s="231"/>
      <c r="K33" s="231"/>
      <c r="L33" s="231"/>
      <c r="M33" s="231"/>
      <c r="N33" s="231"/>
      <c r="O33" s="231"/>
      <c r="P33" s="231"/>
      <c r="Q33" s="231"/>
      <c r="R33" s="231"/>
      <c r="S33" s="231"/>
      <c r="T33" s="231"/>
      <c r="U33" s="231"/>
      <c r="V33" s="231"/>
      <c r="W33" s="248"/>
      <c r="X33" s="231"/>
      <c r="Y33" s="231"/>
      <c r="Z33" s="231"/>
      <c r="AA33" s="231"/>
      <c r="AB33" s="231"/>
      <c r="AC33" s="176"/>
      <c r="AD33" s="176"/>
      <c r="AE33" s="176"/>
      <c r="AF33" s="176"/>
      <c r="AG33" s="176"/>
      <c r="AH33" s="231"/>
      <c r="AI33" s="231"/>
      <c r="AJ33" s="231"/>
      <c r="AK33" s="231"/>
      <c r="AL33" s="231"/>
      <c r="AM33" s="231"/>
      <c r="AN33" s="176"/>
      <c r="AO33" s="176"/>
      <c r="AP33" s="176"/>
      <c r="AQ33" s="176"/>
      <c r="AR33" s="176"/>
      <c r="AS33" s="176"/>
      <c r="AT33" s="231"/>
      <c r="AU33" s="231"/>
      <c r="AV33" s="231"/>
      <c r="AW33" s="231"/>
      <c r="AX33" s="231"/>
      <c r="AY33" s="231"/>
    </row>
    <row r="34" spans="4:51">
      <c r="D34" s="33"/>
      <c r="E34" s="231"/>
      <c r="F34" s="231"/>
      <c r="G34" s="231"/>
      <c r="H34" s="231"/>
      <c r="I34" s="231"/>
      <c r="J34" s="231"/>
      <c r="K34" s="231"/>
      <c r="L34" s="231"/>
      <c r="M34" s="231"/>
      <c r="N34" s="231"/>
      <c r="O34" s="231"/>
      <c r="P34" s="231"/>
      <c r="Q34" s="231"/>
      <c r="R34" s="231"/>
      <c r="S34" s="231"/>
      <c r="T34" s="231"/>
      <c r="U34" s="231"/>
      <c r="V34" s="231"/>
      <c r="W34" s="248"/>
      <c r="X34" s="231"/>
      <c r="Y34" s="231"/>
      <c r="Z34" s="231"/>
      <c r="AA34" s="231"/>
      <c r="AB34" s="231"/>
      <c r="AC34" s="176"/>
      <c r="AD34" s="176"/>
      <c r="AE34" s="176"/>
      <c r="AF34" s="176"/>
      <c r="AG34" s="176"/>
      <c r="AH34" s="231"/>
      <c r="AI34" s="231"/>
      <c r="AJ34" s="231"/>
      <c r="AK34" s="231"/>
      <c r="AL34" s="231"/>
      <c r="AM34" s="231"/>
      <c r="AN34" s="176"/>
      <c r="AO34" s="176"/>
      <c r="AP34" s="176"/>
      <c r="AQ34" s="176"/>
      <c r="AR34" s="176"/>
      <c r="AS34" s="176"/>
      <c r="AT34" s="231"/>
      <c r="AU34" s="231"/>
      <c r="AV34" s="231"/>
      <c r="AW34" s="231"/>
      <c r="AX34" s="231"/>
      <c r="AY34" s="231"/>
    </row>
    <row r="35" spans="4:51">
      <c r="D35" s="161" t="s">
        <v>363</v>
      </c>
      <c r="E35" s="161"/>
      <c r="F35" s="161"/>
      <c r="G35" s="161"/>
      <c r="H35" s="161"/>
      <c r="I35" s="161"/>
      <c r="J35" s="161"/>
      <c r="K35" s="161"/>
      <c r="L35" s="161"/>
      <c r="M35" s="161"/>
      <c r="N35" s="161"/>
      <c r="O35" s="161"/>
      <c r="P35" s="161"/>
      <c r="Q35" s="161"/>
      <c r="R35" s="161"/>
      <c r="S35" s="161"/>
      <c r="T35" s="161"/>
      <c r="U35" s="161"/>
      <c r="V35" s="161"/>
      <c r="W35" s="161"/>
      <c r="X35" s="161"/>
      <c r="Y35" s="161"/>
      <c r="Z35" s="161"/>
      <c r="AA35" s="161"/>
      <c r="AB35" s="161"/>
      <c r="AC35" s="176">
        <f>SUM(AC30:AC34)</f>
        <v>0</v>
      </c>
      <c r="AD35" s="176"/>
      <c r="AE35" s="176"/>
      <c r="AF35" s="176"/>
      <c r="AG35" s="176"/>
      <c r="AH35" s="247"/>
      <c r="AI35" s="247"/>
      <c r="AJ35" s="247"/>
      <c r="AK35" s="247"/>
      <c r="AL35" s="247"/>
      <c r="AM35" s="247"/>
      <c r="AN35" s="176">
        <f>SUM(AN30:AN34)</f>
        <v>0</v>
      </c>
      <c r="AO35" s="176"/>
      <c r="AP35" s="176"/>
      <c r="AQ35" s="176"/>
      <c r="AR35" s="176"/>
      <c r="AS35" s="176"/>
      <c r="AT35" s="247"/>
      <c r="AU35" s="247"/>
      <c r="AV35" s="247"/>
      <c r="AW35" s="247"/>
      <c r="AX35" s="247"/>
      <c r="AY35" s="247"/>
    </row>
    <row r="37" spans="4:51">
      <c r="AU37" s="131" t="s">
        <v>364</v>
      </c>
      <c r="AV37" s="131"/>
      <c r="AW37" s="131"/>
    </row>
    <row r="38" spans="4:51">
      <c r="AU38" s="131"/>
      <c r="AV38" s="131"/>
      <c r="AW38" s="131"/>
    </row>
  </sheetData>
  <mergeCells count="156">
    <mergeCell ref="AQ7:AY7"/>
    <mergeCell ref="AK15:AP15"/>
    <mergeCell ref="AS15:AY15"/>
    <mergeCell ref="AK16:AP16"/>
    <mergeCell ref="AS16:AY16"/>
    <mergeCell ref="E17:L17"/>
    <mergeCell ref="M17:T17"/>
    <mergeCell ref="U17:X17"/>
    <mergeCell ref="Y17:AD17"/>
    <mergeCell ref="AE17:AJ17"/>
    <mergeCell ref="AK17:AP17"/>
    <mergeCell ref="AQ17:AR17"/>
    <mergeCell ref="AS17:AY17"/>
    <mergeCell ref="E18:L18"/>
    <mergeCell ref="M18:T18"/>
    <mergeCell ref="U18:X18"/>
    <mergeCell ref="Y18:AD18"/>
    <mergeCell ref="AE18:AJ18"/>
    <mergeCell ref="AK18:AP18"/>
    <mergeCell ref="AQ18:AR18"/>
    <mergeCell ref="AS18:AY18"/>
    <mergeCell ref="E19:L19"/>
    <mergeCell ref="M19:T19"/>
    <mergeCell ref="U19:X19"/>
    <mergeCell ref="Y19:AD19"/>
    <mergeCell ref="AE19:AJ19"/>
    <mergeCell ref="AK19:AP19"/>
    <mergeCell ref="AQ19:AR19"/>
    <mergeCell ref="AS19:AY19"/>
    <mergeCell ref="E20:L20"/>
    <mergeCell ref="M20:T20"/>
    <mergeCell ref="U20:X20"/>
    <mergeCell ref="Y20:AD20"/>
    <mergeCell ref="AE20:AJ20"/>
    <mergeCell ref="AK20:AP20"/>
    <mergeCell ref="AQ20:AR20"/>
    <mergeCell ref="AS20:AY20"/>
    <mergeCell ref="E21:L21"/>
    <mergeCell ref="M21:T21"/>
    <mergeCell ref="U21:X21"/>
    <mergeCell ref="Y21:AD21"/>
    <mergeCell ref="AE21:AJ21"/>
    <mergeCell ref="AK21:AP21"/>
    <mergeCell ref="AQ21:AR21"/>
    <mergeCell ref="AS21:AY21"/>
    <mergeCell ref="E22:L22"/>
    <mergeCell ref="M22:T22"/>
    <mergeCell ref="U22:X22"/>
    <mergeCell ref="Y22:AD22"/>
    <mergeCell ref="AE22:AJ22"/>
    <mergeCell ref="AK22:AP22"/>
    <mergeCell ref="AQ22:AR22"/>
    <mergeCell ref="AS22:AY22"/>
    <mergeCell ref="D23:AJ23"/>
    <mergeCell ref="AK23:AP23"/>
    <mergeCell ref="AQ23:AR23"/>
    <mergeCell ref="AS23:AY23"/>
    <mergeCell ref="W27:AB27"/>
    <mergeCell ref="AC27:AM27"/>
    <mergeCell ref="AN27:AY27"/>
    <mergeCell ref="W28:Z28"/>
    <mergeCell ref="AA28:AB28"/>
    <mergeCell ref="AC28:AG28"/>
    <mergeCell ref="AH28:AI28"/>
    <mergeCell ref="AJ28:AM28"/>
    <mergeCell ref="AN28:AS28"/>
    <mergeCell ref="AT28:AU28"/>
    <mergeCell ref="AV28:AY28"/>
    <mergeCell ref="AT29:AU29"/>
    <mergeCell ref="AV29:AY29"/>
    <mergeCell ref="E30:L30"/>
    <mergeCell ref="M30:P30"/>
    <mergeCell ref="Q30:V30"/>
    <mergeCell ref="W30:Z30"/>
    <mergeCell ref="AA30:AB30"/>
    <mergeCell ref="AC30:AG30"/>
    <mergeCell ref="AH30:AI30"/>
    <mergeCell ref="AJ30:AM30"/>
    <mergeCell ref="AN30:AS30"/>
    <mergeCell ref="AT30:AU30"/>
    <mergeCell ref="AV30:AY30"/>
    <mergeCell ref="E29:L29"/>
    <mergeCell ref="M29:P29"/>
    <mergeCell ref="Q29:V29"/>
    <mergeCell ref="W29:Z29"/>
    <mergeCell ref="AA29:AB29"/>
    <mergeCell ref="AC29:AG29"/>
    <mergeCell ref="AH29:AI29"/>
    <mergeCell ref="AJ29:AM29"/>
    <mergeCell ref="AN29:AS29"/>
    <mergeCell ref="AT31:AU31"/>
    <mergeCell ref="AV31:AY31"/>
    <mergeCell ref="E32:L32"/>
    <mergeCell ref="M32:P32"/>
    <mergeCell ref="Q32:V32"/>
    <mergeCell ref="W32:Z32"/>
    <mergeCell ref="AA32:AB32"/>
    <mergeCell ref="AC32:AG32"/>
    <mergeCell ref="AH32:AI32"/>
    <mergeCell ref="AJ32:AM32"/>
    <mergeCell ref="AN32:AS32"/>
    <mergeCell ref="AT32:AU32"/>
    <mergeCell ref="AV32:AY32"/>
    <mergeCell ref="E31:L31"/>
    <mergeCell ref="M31:P31"/>
    <mergeCell ref="Q31:V31"/>
    <mergeCell ref="W31:Z31"/>
    <mergeCell ref="AA31:AB31"/>
    <mergeCell ref="AC31:AG31"/>
    <mergeCell ref="AH31:AI31"/>
    <mergeCell ref="AJ31:AM31"/>
    <mergeCell ref="AN31:AS31"/>
    <mergeCell ref="AT34:AU34"/>
    <mergeCell ref="AV34:AY34"/>
    <mergeCell ref="E33:L33"/>
    <mergeCell ref="M33:P33"/>
    <mergeCell ref="Q33:V33"/>
    <mergeCell ref="W33:Z33"/>
    <mergeCell ref="AA33:AB33"/>
    <mergeCell ref="AC33:AG33"/>
    <mergeCell ref="AH33:AI33"/>
    <mergeCell ref="AJ33:AM33"/>
    <mergeCell ref="AN33:AS33"/>
    <mergeCell ref="E34:L34"/>
    <mergeCell ref="M34:P34"/>
    <mergeCell ref="Q34:V34"/>
    <mergeCell ref="W34:Z34"/>
    <mergeCell ref="AA34:AB34"/>
    <mergeCell ref="AC34:AG34"/>
    <mergeCell ref="AH34:AI34"/>
    <mergeCell ref="AJ34:AM34"/>
    <mergeCell ref="AN34:AS34"/>
    <mergeCell ref="AU37:AW38"/>
    <mergeCell ref="E3:K4"/>
    <mergeCell ref="D6:L11"/>
    <mergeCell ref="AQ3:AY5"/>
    <mergeCell ref="AQ15:AR16"/>
    <mergeCell ref="Y15:AD16"/>
    <mergeCell ref="AE15:AJ16"/>
    <mergeCell ref="U15:X16"/>
    <mergeCell ref="E15:L16"/>
    <mergeCell ref="M15:T16"/>
    <mergeCell ref="D35:AB35"/>
    <mergeCell ref="AC35:AG35"/>
    <mergeCell ref="AH35:AI35"/>
    <mergeCell ref="AJ35:AM35"/>
    <mergeCell ref="AN35:AS35"/>
    <mergeCell ref="AT35:AU35"/>
    <mergeCell ref="AV35:AY35"/>
    <mergeCell ref="D15:D16"/>
    <mergeCell ref="D27:D28"/>
    <mergeCell ref="E27:L28"/>
    <mergeCell ref="M27:P28"/>
    <mergeCell ref="Q27:V28"/>
    <mergeCell ref="AT33:AU33"/>
    <mergeCell ref="AV33:AY33"/>
  </mergeCells>
  <hyperlinks>
    <hyperlink ref="AU37:AW38" location="INDUK2!A1" display="HOME" xr:uid="{00000000-0004-0000-0500-000000000000}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D3:AV53"/>
  <sheetViews>
    <sheetView workbookViewId="0">
      <selection activeCell="AE40" sqref="AE40:AL40"/>
    </sheetView>
  </sheetViews>
  <sheetFormatPr defaultColWidth="9.1796875" defaultRowHeight="11.5"/>
  <cols>
    <col min="1" max="2" width="9.1796875" style="1"/>
    <col min="3" max="66" width="3.453125" style="1" customWidth="1"/>
    <col min="67" max="16384" width="9.1796875" style="1"/>
  </cols>
  <sheetData>
    <row r="3" spans="4:48" ht="15.5">
      <c r="D3" s="3"/>
      <c r="E3" s="4"/>
      <c r="F3" s="4"/>
      <c r="G3" s="4"/>
      <c r="H3" s="4"/>
      <c r="I3" s="4"/>
      <c r="J3" s="4"/>
      <c r="K3" s="4"/>
      <c r="L3" s="17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92" t="s">
        <v>365</v>
      </c>
      <c r="AO3" s="192"/>
      <c r="AP3" s="192"/>
      <c r="AQ3" s="192"/>
      <c r="AR3" s="192"/>
      <c r="AS3" s="192"/>
      <c r="AT3" s="192"/>
      <c r="AU3" s="192"/>
      <c r="AV3" s="193"/>
    </row>
    <row r="4" spans="4:48" ht="18">
      <c r="D4" s="5" t="s">
        <v>184</v>
      </c>
      <c r="E4" s="6"/>
      <c r="F4" s="6"/>
      <c r="G4" s="6"/>
      <c r="H4" s="6"/>
      <c r="I4" s="6"/>
      <c r="J4" s="6"/>
      <c r="K4" s="6"/>
      <c r="L4" s="19"/>
      <c r="M4" s="20"/>
      <c r="N4" s="21" t="s">
        <v>1</v>
      </c>
      <c r="O4" s="20"/>
      <c r="P4" s="20"/>
      <c r="Q4" s="20"/>
      <c r="R4" s="20"/>
      <c r="S4" s="20"/>
      <c r="T4" s="20"/>
      <c r="U4" s="20"/>
      <c r="V4" s="20"/>
      <c r="W4" s="20"/>
      <c r="X4" s="20"/>
      <c r="Y4" s="29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194"/>
      <c r="AO4" s="194"/>
      <c r="AP4" s="194"/>
      <c r="AQ4" s="194"/>
      <c r="AR4" s="194"/>
      <c r="AS4" s="194"/>
      <c r="AT4" s="194"/>
      <c r="AU4" s="194"/>
      <c r="AV4" s="195"/>
    </row>
    <row r="5" spans="4:48" ht="14">
      <c r="D5" s="227" t="s">
        <v>366</v>
      </c>
      <c r="E5" s="228"/>
      <c r="F5" s="228"/>
      <c r="G5" s="228"/>
      <c r="H5" s="228"/>
      <c r="I5" s="228"/>
      <c r="J5" s="228"/>
      <c r="K5" s="228"/>
      <c r="L5" s="228"/>
      <c r="M5" s="20"/>
      <c r="N5" s="22" t="s">
        <v>185</v>
      </c>
      <c r="O5" s="20"/>
      <c r="P5" s="20"/>
      <c r="Q5" s="20"/>
      <c r="R5" s="20"/>
      <c r="S5" s="20"/>
      <c r="T5" s="20"/>
      <c r="U5" s="20"/>
      <c r="V5" s="20"/>
      <c r="W5" s="20"/>
      <c r="X5" s="20"/>
      <c r="Y5" s="29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194"/>
      <c r="AO5" s="194"/>
      <c r="AP5" s="194"/>
      <c r="AQ5" s="194"/>
      <c r="AR5" s="194"/>
      <c r="AS5" s="194"/>
      <c r="AT5" s="194"/>
      <c r="AU5" s="194"/>
      <c r="AV5" s="195"/>
    </row>
    <row r="6" spans="4:48" ht="3" customHeight="1">
      <c r="D6" s="227"/>
      <c r="E6" s="228"/>
      <c r="F6" s="228"/>
      <c r="G6" s="228"/>
      <c r="H6" s="228"/>
      <c r="I6" s="228"/>
      <c r="J6" s="228"/>
      <c r="K6" s="228"/>
      <c r="L6" s="228"/>
      <c r="M6" s="20"/>
      <c r="N6" s="23"/>
      <c r="O6" s="20"/>
      <c r="P6" s="20"/>
      <c r="Q6" s="20"/>
      <c r="R6" s="20"/>
      <c r="S6" s="20"/>
      <c r="T6" s="20"/>
      <c r="U6" s="20"/>
      <c r="V6" s="20"/>
      <c r="W6" s="20"/>
      <c r="X6" s="20"/>
      <c r="Y6" s="29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30"/>
      <c r="AQ6" s="30"/>
      <c r="AR6" s="30"/>
      <c r="AS6" s="30"/>
      <c r="AT6" s="30"/>
      <c r="AU6" s="30"/>
      <c r="AV6" s="31"/>
    </row>
    <row r="7" spans="4:48">
      <c r="D7" s="227"/>
      <c r="E7" s="228"/>
      <c r="F7" s="228"/>
      <c r="G7" s="228"/>
      <c r="H7" s="228"/>
      <c r="I7" s="228"/>
      <c r="J7" s="228"/>
      <c r="K7" s="228"/>
      <c r="L7" s="228"/>
      <c r="M7" s="20"/>
      <c r="N7" s="23" t="s">
        <v>8</v>
      </c>
      <c r="O7" s="20"/>
      <c r="P7" s="20"/>
      <c r="Q7" s="20"/>
      <c r="R7" s="20"/>
      <c r="S7" s="20"/>
      <c r="T7" s="20"/>
      <c r="U7" s="20"/>
      <c r="V7" s="20"/>
      <c r="W7" s="20"/>
      <c r="X7" s="20"/>
      <c r="Y7" s="29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186" t="s">
        <v>188</v>
      </c>
      <c r="AO7" s="186"/>
      <c r="AP7" s="186"/>
      <c r="AQ7" s="186"/>
      <c r="AR7" s="186"/>
      <c r="AS7" s="186"/>
      <c r="AT7" s="186"/>
      <c r="AU7" s="186"/>
      <c r="AV7" s="187"/>
    </row>
    <row r="8" spans="4:48" ht="14">
      <c r="D8" s="227"/>
      <c r="E8" s="228"/>
      <c r="F8" s="228"/>
      <c r="G8" s="228"/>
      <c r="H8" s="228"/>
      <c r="I8" s="228"/>
      <c r="J8" s="228"/>
      <c r="K8" s="228"/>
      <c r="L8" s="228"/>
      <c r="M8" s="20"/>
      <c r="N8" s="25" t="s">
        <v>367</v>
      </c>
      <c r="O8" s="23"/>
      <c r="P8" s="20"/>
      <c r="Q8" s="20"/>
      <c r="R8" s="20"/>
      <c r="S8" s="20"/>
      <c r="T8" s="20"/>
      <c r="U8" s="20"/>
      <c r="V8" s="20"/>
      <c r="W8" s="20"/>
      <c r="X8" s="20"/>
      <c r="Y8" s="29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8">
        <f>INDUK1!E14</f>
        <v>2</v>
      </c>
      <c r="AQ8" s="28">
        <f>INDUK1!G14</f>
        <v>0</v>
      </c>
      <c r="AR8" s="28">
        <f>INDUK1!I14</f>
        <v>2</v>
      </c>
      <c r="AS8" s="28">
        <f>INDUK1!K14</f>
        <v>5</v>
      </c>
      <c r="AT8" s="30"/>
      <c r="AU8" s="30"/>
      <c r="AV8" s="31"/>
    </row>
    <row r="9" spans="4:48" ht="3" customHeight="1">
      <c r="D9" s="227"/>
      <c r="E9" s="228"/>
      <c r="F9" s="228"/>
      <c r="G9" s="228"/>
      <c r="H9" s="228"/>
      <c r="I9" s="228"/>
      <c r="J9" s="228"/>
      <c r="K9" s="228"/>
      <c r="L9" s="228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9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30"/>
      <c r="AQ9" s="30"/>
      <c r="AR9" s="30"/>
      <c r="AS9" s="30"/>
      <c r="AT9" s="30"/>
      <c r="AU9" s="30"/>
      <c r="AV9" s="31"/>
    </row>
    <row r="10" spans="4:48" ht="14">
      <c r="D10" s="227"/>
      <c r="E10" s="228"/>
      <c r="F10" s="228"/>
      <c r="G10" s="228"/>
      <c r="H10" s="228"/>
      <c r="I10" s="228"/>
      <c r="J10" s="228"/>
      <c r="K10" s="228"/>
      <c r="L10" s="228"/>
      <c r="M10" s="20"/>
      <c r="N10" s="25"/>
      <c r="O10" s="25" t="s">
        <v>28</v>
      </c>
      <c r="P10" s="20"/>
      <c r="Q10" s="20"/>
      <c r="R10" s="28">
        <f>INDUK1!AF21</f>
        <v>0</v>
      </c>
      <c r="S10" s="28">
        <f>INDUK1!AG21</f>
        <v>0</v>
      </c>
      <c r="T10" s="28">
        <f>INDUK1!AH21</f>
        <v>0</v>
      </c>
      <c r="U10" s="28">
        <f>INDUK1!AI21</f>
        <v>0</v>
      </c>
      <c r="V10" s="28">
        <f>INDUK1!AJ21</f>
        <v>0</v>
      </c>
      <c r="W10" s="28">
        <f>INDUK1!AK21</f>
        <v>0</v>
      </c>
      <c r="X10" s="28">
        <f>INDUK1!AL21</f>
        <v>0</v>
      </c>
      <c r="Y10" s="28">
        <f>INDUK1!AM21</f>
        <v>0</v>
      </c>
      <c r="Z10" s="28">
        <f>INDUK1!AN21</f>
        <v>0</v>
      </c>
      <c r="AA10" s="28">
        <f>INDUK1!AO21</f>
        <v>0</v>
      </c>
      <c r="AB10" s="28">
        <f>INDUK1!AP21</f>
        <v>0</v>
      </c>
      <c r="AC10" s="28">
        <f>INDUK1!AQ21</f>
        <v>0</v>
      </c>
      <c r="AD10" s="28">
        <f>INDUK1!AR21</f>
        <v>0</v>
      </c>
      <c r="AE10" s="28">
        <f>INDUK1!AS21</f>
        <v>0</v>
      </c>
      <c r="AF10" s="28">
        <f>INDUK1!AT21</f>
        <v>0</v>
      </c>
      <c r="AG10" s="28">
        <f>INDUK1!AU21</f>
        <v>0</v>
      </c>
      <c r="AH10" s="20"/>
      <c r="AI10" s="20"/>
      <c r="AJ10" s="20"/>
      <c r="AK10" s="20"/>
      <c r="AL10" s="20"/>
      <c r="AM10" s="20"/>
      <c r="AN10" s="20"/>
      <c r="AO10" s="20"/>
      <c r="AP10" s="30"/>
      <c r="AQ10" s="30"/>
      <c r="AR10" s="30"/>
      <c r="AS10" s="30"/>
      <c r="AT10" s="30"/>
      <c r="AU10" s="30"/>
      <c r="AV10" s="31"/>
    </row>
    <row r="11" spans="4:48">
      <c r="D11" s="229"/>
      <c r="E11" s="230"/>
      <c r="F11" s="230"/>
      <c r="G11" s="230"/>
      <c r="H11" s="230"/>
      <c r="I11" s="230"/>
      <c r="J11" s="230"/>
      <c r="K11" s="230"/>
      <c r="L11" s="230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32"/>
    </row>
    <row r="12" spans="4:48" ht="3" customHeight="1"/>
    <row r="13" spans="4:48">
      <c r="D13" s="7" t="s">
        <v>25</v>
      </c>
      <c r="E13" s="8" t="s">
        <v>368</v>
      </c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</row>
    <row r="14" spans="4:48" ht="3" customHeight="1"/>
    <row r="15" spans="4:48">
      <c r="D15" s="151" t="s">
        <v>346</v>
      </c>
      <c r="E15" s="151" t="s">
        <v>369</v>
      </c>
      <c r="F15" s="151"/>
      <c r="G15" s="151"/>
      <c r="H15" s="151"/>
      <c r="I15" s="151"/>
      <c r="J15" s="151"/>
      <c r="K15" s="151"/>
      <c r="L15" s="151"/>
      <c r="M15" s="151"/>
      <c r="N15" s="132" t="s">
        <v>370</v>
      </c>
      <c r="O15" s="132"/>
      <c r="P15" s="132"/>
      <c r="Q15" s="132"/>
      <c r="R15" s="132"/>
      <c r="S15" s="132" t="s">
        <v>371</v>
      </c>
      <c r="T15" s="132"/>
      <c r="U15" s="132"/>
      <c r="V15" s="132"/>
      <c r="W15" s="132" t="s">
        <v>372</v>
      </c>
      <c r="X15" s="132"/>
      <c r="Y15" s="132"/>
      <c r="Z15" s="132"/>
      <c r="AA15" s="132"/>
      <c r="AB15" s="132" t="s">
        <v>373</v>
      </c>
      <c r="AC15" s="132"/>
      <c r="AD15" s="132"/>
      <c r="AE15" s="132"/>
      <c r="AF15" s="132"/>
      <c r="AG15" s="132"/>
      <c r="AH15" s="132"/>
      <c r="AI15" s="132"/>
      <c r="AJ15" s="132"/>
      <c r="AK15" s="132"/>
      <c r="AL15" s="132"/>
      <c r="AM15" s="132"/>
      <c r="AN15" s="132"/>
      <c r="AO15" s="132"/>
      <c r="AP15" s="132" t="s">
        <v>374</v>
      </c>
      <c r="AQ15" s="132"/>
      <c r="AR15" s="132"/>
      <c r="AS15" s="132"/>
      <c r="AT15" s="132"/>
      <c r="AU15" s="132"/>
      <c r="AV15" s="132"/>
    </row>
    <row r="16" spans="4:48">
      <c r="D16" s="151"/>
      <c r="E16" s="151"/>
      <c r="F16" s="151"/>
      <c r="G16" s="151"/>
      <c r="H16" s="151"/>
      <c r="I16" s="151"/>
      <c r="J16" s="151"/>
      <c r="K16" s="151"/>
      <c r="L16" s="151"/>
      <c r="M16" s="151"/>
      <c r="N16" s="132"/>
      <c r="O16" s="132"/>
      <c r="P16" s="132"/>
      <c r="Q16" s="132"/>
      <c r="R16" s="132"/>
      <c r="S16" s="132"/>
      <c r="T16" s="132"/>
      <c r="U16" s="132"/>
      <c r="V16" s="132"/>
      <c r="W16" s="132"/>
      <c r="X16" s="132"/>
      <c r="Y16" s="132"/>
      <c r="Z16" s="132"/>
      <c r="AA16" s="132"/>
      <c r="AB16" s="132"/>
      <c r="AC16" s="132"/>
      <c r="AD16" s="132"/>
      <c r="AE16" s="132"/>
      <c r="AF16" s="132"/>
      <c r="AG16" s="132"/>
      <c r="AH16" s="132"/>
      <c r="AI16" s="132"/>
      <c r="AJ16" s="132"/>
      <c r="AK16" s="132"/>
      <c r="AL16" s="132"/>
      <c r="AM16" s="132"/>
      <c r="AN16" s="132"/>
      <c r="AO16" s="132"/>
      <c r="AP16" s="132"/>
      <c r="AQ16" s="132"/>
      <c r="AR16" s="132"/>
      <c r="AS16" s="132"/>
      <c r="AT16" s="132"/>
      <c r="AU16" s="132"/>
      <c r="AV16" s="132"/>
    </row>
    <row r="17" spans="4:48">
      <c r="D17" s="151"/>
      <c r="E17" s="151" t="s">
        <v>30</v>
      </c>
      <c r="F17" s="151"/>
      <c r="G17" s="151"/>
      <c r="H17" s="151"/>
      <c r="I17" s="151"/>
      <c r="J17" s="151" t="s">
        <v>348</v>
      </c>
      <c r="K17" s="151"/>
      <c r="L17" s="151"/>
      <c r="M17" s="151"/>
      <c r="N17" s="132"/>
      <c r="O17" s="132"/>
      <c r="P17" s="132"/>
      <c r="Q17" s="132"/>
      <c r="R17" s="132"/>
      <c r="S17" s="132"/>
      <c r="T17" s="132"/>
      <c r="U17" s="132"/>
      <c r="V17" s="132"/>
      <c r="W17" s="132"/>
      <c r="X17" s="132"/>
      <c r="Y17" s="132"/>
      <c r="Z17" s="132"/>
      <c r="AA17" s="132"/>
      <c r="AB17" s="151" t="s">
        <v>352</v>
      </c>
      <c r="AC17" s="151"/>
      <c r="AD17" s="151"/>
      <c r="AE17" s="151"/>
      <c r="AF17" s="151"/>
      <c r="AG17" s="151" t="s">
        <v>375</v>
      </c>
      <c r="AH17" s="151"/>
      <c r="AI17" s="151"/>
      <c r="AJ17" s="151"/>
      <c r="AK17" s="132" t="s">
        <v>376</v>
      </c>
      <c r="AL17" s="132"/>
      <c r="AM17" s="132"/>
      <c r="AN17" s="132"/>
      <c r="AO17" s="132"/>
      <c r="AP17" s="132"/>
      <c r="AQ17" s="132"/>
      <c r="AR17" s="132"/>
      <c r="AS17" s="132"/>
      <c r="AT17" s="132"/>
      <c r="AU17" s="132"/>
      <c r="AV17" s="132"/>
    </row>
    <row r="18" spans="4:48">
      <c r="D18" s="151"/>
      <c r="E18" s="151"/>
      <c r="F18" s="151"/>
      <c r="G18" s="151"/>
      <c r="H18" s="151"/>
      <c r="I18" s="151"/>
      <c r="J18" s="151"/>
      <c r="K18" s="151"/>
      <c r="L18" s="151"/>
      <c r="M18" s="151"/>
      <c r="N18" s="132"/>
      <c r="O18" s="132"/>
      <c r="P18" s="132"/>
      <c r="Q18" s="132"/>
      <c r="R18" s="132"/>
      <c r="S18" s="132"/>
      <c r="T18" s="132"/>
      <c r="U18" s="132"/>
      <c r="V18" s="132"/>
      <c r="W18" s="132"/>
      <c r="X18" s="132"/>
      <c r="Y18" s="132"/>
      <c r="Z18" s="132"/>
      <c r="AA18" s="132"/>
      <c r="AB18" s="151"/>
      <c r="AC18" s="151"/>
      <c r="AD18" s="151"/>
      <c r="AE18" s="151"/>
      <c r="AF18" s="151"/>
      <c r="AG18" s="151"/>
      <c r="AH18" s="151"/>
      <c r="AI18" s="151"/>
      <c r="AJ18" s="151"/>
      <c r="AK18" s="132"/>
      <c r="AL18" s="132"/>
      <c r="AM18" s="132"/>
      <c r="AN18" s="132"/>
      <c r="AO18" s="132"/>
      <c r="AP18" s="132"/>
      <c r="AQ18" s="132"/>
      <c r="AR18" s="132"/>
      <c r="AS18" s="132"/>
      <c r="AT18" s="132"/>
      <c r="AU18" s="132"/>
      <c r="AV18" s="132"/>
    </row>
    <row r="19" spans="4:48">
      <c r="D19" s="128" t="s">
        <v>201</v>
      </c>
      <c r="E19" s="162" t="s">
        <v>202</v>
      </c>
      <c r="F19" s="161"/>
      <c r="G19" s="161"/>
      <c r="H19" s="161"/>
      <c r="I19" s="161"/>
      <c r="J19" s="162" t="s">
        <v>203</v>
      </c>
      <c r="K19" s="161"/>
      <c r="L19" s="161"/>
      <c r="M19" s="161"/>
      <c r="N19" s="162" t="s">
        <v>204</v>
      </c>
      <c r="O19" s="161"/>
      <c r="P19" s="161"/>
      <c r="Q19" s="161"/>
      <c r="R19" s="161"/>
      <c r="S19" s="162" t="s">
        <v>205</v>
      </c>
      <c r="T19" s="161"/>
      <c r="U19" s="161"/>
      <c r="V19" s="161"/>
      <c r="W19" s="260" t="s">
        <v>354</v>
      </c>
      <c r="X19" s="261"/>
      <c r="Y19" s="261"/>
      <c r="Z19" s="261"/>
      <c r="AA19" s="261"/>
      <c r="AB19" s="260" t="s">
        <v>207</v>
      </c>
      <c r="AC19" s="261"/>
      <c r="AD19" s="261"/>
      <c r="AE19" s="261"/>
      <c r="AF19" s="261"/>
      <c r="AG19" s="260" t="s">
        <v>208</v>
      </c>
      <c r="AH19" s="261"/>
      <c r="AI19" s="261"/>
      <c r="AJ19" s="261"/>
      <c r="AK19" s="260" t="s">
        <v>209</v>
      </c>
      <c r="AL19" s="261"/>
      <c r="AM19" s="261"/>
      <c r="AN19" s="261"/>
      <c r="AO19" s="261"/>
      <c r="AP19" s="260" t="s">
        <v>210</v>
      </c>
      <c r="AQ19" s="261"/>
      <c r="AR19" s="261"/>
      <c r="AS19" s="261"/>
      <c r="AT19" s="261"/>
      <c r="AU19" s="261"/>
      <c r="AV19" s="261"/>
    </row>
    <row r="20" spans="4:48">
      <c r="D20" s="38">
        <v>1</v>
      </c>
      <c r="E20" s="245"/>
      <c r="F20" s="245"/>
      <c r="G20" s="245"/>
      <c r="H20" s="245"/>
      <c r="I20" s="245"/>
      <c r="J20" s="245"/>
      <c r="K20" s="245"/>
      <c r="L20" s="245"/>
      <c r="M20" s="245"/>
      <c r="N20" s="172"/>
      <c r="O20" s="172"/>
      <c r="P20" s="172"/>
      <c r="Q20" s="172"/>
      <c r="R20" s="172"/>
      <c r="S20" s="172"/>
      <c r="T20" s="172"/>
      <c r="U20" s="172"/>
      <c r="V20" s="172"/>
      <c r="W20" s="243"/>
      <c r="X20" s="243"/>
      <c r="Y20" s="243"/>
      <c r="Z20" s="243"/>
      <c r="AA20" s="243"/>
      <c r="AB20" s="243"/>
      <c r="AC20" s="243"/>
      <c r="AD20" s="243"/>
      <c r="AE20" s="243"/>
      <c r="AF20" s="243"/>
      <c r="AG20" s="243"/>
      <c r="AH20" s="243"/>
      <c r="AI20" s="243"/>
      <c r="AJ20" s="243"/>
      <c r="AK20" s="243"/>
      <c r="AL20" s="243"/>
      <c r="AM20" s="243"/>
      <c r="AN20" s="243"/>
      <c r="AO20" s="243"/>
      <c r="AP20" s="243"/>
      <c r="AQ20" s="243"/>
      <c r="AR20" s="243"/>
      <c r="AS20" s="243"/>
      <c r="AT20" s="243"/>
      <c r="AU20" s="243"/>
      <c r="AV20" s="243"/>
    </row>
    <row r="21" spans="4:48">
      <c r="D21" s="38">
        <v>2</v>
      </c>
      <c r="E21" s="245"/>
      <c r="F21" s="245"/>
      <c r="G21" s="245"/>
      <c r="H21" s="245"/>
      <c r="I21" s="245"/>
      <c r="J21" s="245"/>
      <c r="K21" s="245"/>
      <c r="L21" s="245"/>
      <c r="M21" s="245"/>
      <c r="N21" s="172"/>
      <c r="O21" s="172"/>
      <c r="P21" s="172"/>
      <c r="Q21" s="172"/>
      <c r="R21" s="172"/>
      <c r="S21" s="172"/>
      <c r="T21" s="172"/>
      <c r="U21" s="172"/>
      <c r="V21" s="172"/>
      <c r="W21" s="243"/>
      <c r="X21" s="243"/>
      <c r="Y21" s="243"/>
      <c r="Z21" s="243"/>
      <c r="AA21" s="243"/>
      <c r="AB21" s="243"/>
      <c r="AC21" s="243"/>
      <c r="AD21" s="243"/>
      <c r="AE21" s="243"/>
      <c r="AF21" s="243"/>
      <c r="AG21" s="243"/>
      <c r="AH21" s="243"/>
      <c r="AI21" s="243"/>
      <c r="AJ21" s="243"/>
      <c r="AK21" s="243"/>
      <c r="AL21" s="243"/>
      <c r="AM21" s="243"/>
      <c r="AN21" s="243"/>
      <c r="AO21" s="243"/>
      <c r="AP21" s="243"/>
      <c r="AQ21" s="243"/>
      <c r="AR21" s="243"/>
      <c r="AS21" s="243"/>
      <c r="AT21" s="243"/>
      <c r="AU21" s="243"/>
      <c r="AV21" s="243"/>
    </row>
    <row r="22" spans="4:48">
      <c r="D22" s="38">
        <v>3</v>
      </c>
      <c r="E22" s="245"/>
      <c r="F22" s="245"/>
      <c r="G22" s="245"/>
      <c r="H22" s="245"/>
      <c r="I22" s="245"/>
      <c r="J22" s="245"/>
      <c r="K22" s="245"/>
      <c r="L22" s="245"/>
      <c r="M22" s="245"/>
      <c r="N22" s="172"/>
      <c r="O22" s="172"/>
      <c r="P22" s="172"/>
      <c r="Q22" s="172"/>
      <c r="R22" s="172"/>
      <c r="S22" s="172"/>
      <c r="T22" s="172"/>
      <c r="U22" s="172"/>
      <c r="V22" s="172"/>
      <c r="W22" s="243"/>
      <c r="X22" s="243"/>
      <c r="Y22" s="243"/>
      <c r="Z22" s="243"/>
      <c r="AA22" s="243"/>
      <c r="AB22" s="243"/>
      <c r="AC22" s="243"/>
      <c r="AD22" s="243"/>
      <c r="AE22" s="243"/>
      <c r="AF22" s="243"/>
      <c r="AG22" s="243"/>
      <c r="AH22" s="243"/>
      <c r="AI22" s="243"/>
      <c r="AJ22" s="243"/>
      <c r="AK22" s="243"/>
      <c r="AL22" s="243"/>
      <c r="AM22" s="243"/>
      <c r="AN22" s="243"/>
      <c r="AO22" s="243"/>
      <c r="AP22" s="243"/>
      <c r="AQ22" s="243"/>
      <c r="AR22" s="243"/>
      <c r="AS22" s="243"/>
      <c r="AT22" s="243"/>
      <c r="AU22" s="243"/>
      <c r="AV22" s="243"/>
    </row>
    <row r="23" spans="4:48">
      <c r="D23" s="38">
        <v>4</v>
      </c>
      <c r="E23" s="245"/>
      <c r="F23" s="245"/>
      <c r="G23" s="245"/>
      <c r="H23" s="245"/>
      <c r="I23" s="245"/>
      <c r="J23" s="245"/>
      <c r="K23" s="245"/>
      <c r="L23" s="245"/>
      <c r="M23" s="245"/>
      <c r="N23" s="172"/>
      <c r="O23" s="172"/>
      <c r="P23" s="172"/>
      <c r="Q23" s="172"/>
      <c r="R23" s="172"/>
      <c r="S23" s="172"/>
      <c r="T23" s="172"/>
      <c r="U23" s="172"/>
      <c r="V23" s="172"/>
      <c r="W23" s="243"/>
      <c r="X23" s="243"/>
      <c r="Y23" s="243"/>
      <c r="Z23" s="243"/>
      <c r="AA23" s="243"/>
      <c r="AB23" s="243"/>
      <c r="AC23" s="243"/>
      <c r="AD23" s="243"/>
      <c r="AE23" s="243"/>
      <c r="AF23" s="243"/>
      <c r="AG23" s="243"/>
      <c r="AH23" s="243"/>
      <c r="AI23" s="243"/>
      <c r="AJ23" s="243"/>
      <c r="AK23" s="243"/>
      <c r="AL23" s="243"/>
      <c r="AM23" s="243"/>
      <c r="AN23" s="243"/>
      <c r="AO23" s="243"/>
      <c r="AP23" s="243"/>
      <c r="AQ23" s="243"/>
      <c r="AR23" s="243"/>
      <c r="AS23" s="243"/>
      <c r="AT23" s="243"/>
      <c r="AU23" s="243"/>
      <c r="AV23" s="243"/>
    </row>
    <row r="24" spans="4:48">
      <c r="D24" s="38">
        <v>5</v>
      </c>
      <c r="E24" s="245"/>
      <c r="F24" s="245"/>
      <c r="G24" s="245"/>
      <c r="H24" s="245"/>
      <c r="I24" s="245"/>
      <c r="J24" s="245"/>
      <c r="K24" s="245"/>
      <c r="L24" s="245"/>
      <c r="M24" s="245"/>
      <c r="N24" s="172"/>
      <c r="O24" s="172"/>
      <c r="P24" s="172"/>
      <c r="Q24" s="172"/>
      <c r="R24" s="172"/>
      <c r="S24" s="172"/>
      <c r="T24" s="172"/>
      <c r="U24" s="172"/>
      <c r="V24" s="172"/>
      <c r="W24" s="243"/>
      <c r="X24" s="243"/>
      <c r="Y24" s="243"/>
      <c r="Z24" s="243"/>
      <c r="AA24" s="243"/>
      <c r="AB24" s="243"/>
      <c r="AC24" s="243"/>
      <c r="AD24" s="243"/>
      <c r="AE24" s="243"/>
      <c r="AF24" s="243"/>
      <c r="AG24" s="243"/>
      <c r="AH24" s="243"/>
      <c r="AI24" s="243"/>
      <c r="AJ24" s="243"/>
      <c r="AK24" s="243"/>
      <c r="AL24" s="243"/>
      <c r="AM24" s="243"/>
      <c r="AN24" s="243"/>
      <c r="AO24" s="243"/>
      <c r="AP24" s="243"/>
      <c r="AQ24" s="243"/>
      <c r="AR24" s="243"/>
      <c r="AS24" s="243"/>
      <c r="AT24" s="243"/>
      <c r="AU24" s="243"/>
      <c r="AV24" s="243"/>
    </row>
    <row r="25" spans="4:48">
      <c r="D25" s="38">
        <v>6</v>
      </c>
      <c r="E25" s="245"/>
      <c r="F25" s="245"/>
      <c r="G25" s="245"/>
      <c r="H25" s="245"/>
      <c r="I25" s="245"/>
      <c r="J25" s="245"/>
      <c r="K25" s="245"/>
      <c r="L25" s="245"/>
      <c r="M25" s="245"/>
      <c r="N25" s="172"/>
      <c r="O25" s="172"/>
      <c r="P25" s="172"/>
      <c r="Q25" s="172"/>
      <c r="R25" s="172"/>
      <c r="S25" s="172"/>
      <c r="T25" s="172"/>
      <c r="U25" s="172"/>
      <c r="V25" s="172"/>
      <c r="W25" s="243"/>
      <c r="X25" s="243"/>
      <c r="Y25" s="243"/>
      <c r="Z25" s="243"/>
      <c r="AA25" s="243"/>
      <c r="AB25" s="243"/>
      <c r="AC25" s="243"/>
      <c r="AD25" s="243"/>
      <c r="AE25" s="243"/>
      <c r="AF25" s="243"/>
      <c r="AG25" s="243"/>
      <c r="AH25" s="243"/>
      <c r="AI25" s="243"/>
      <c r="AJ25" s="243"/>
      <c r="AK25" s="243"/>
      <c r="AL25" s="243"/>
      <c r="AM25" s="243"/>
      <c r="AN25" s="243"/>
      <c r="AO25" s="243"/>
      <c r="AP25" s="243"/>
      <c r="AQ25" s="243"/>
      <c r="AR25" s="243"/>
      <c r="AS25" s="243"/>
      <c r="AT25" s="243"/>
      <c r="AU25" s="243"/>
      <c r="AV25" s="243"/>
    </row>
    <row r="26" spans="4:48">
      <c r="D26" s="38">
        <v>7</v>
      </c>
      <c r="E26" s="245"/>
      <c r="F26" s="245"/>
      <c r="G26" s="245"/>
      <c r="H26" s="245"/>
      <c r="I26" s="245"/>
      <c r="J26" s="245"/>
      <c r="K26" s="245"/>
      <c r="L26" s="245"/>
      <c r="M26" s="245"/>
      <c r="N26" s="172"/>
      <c r="O26" s="172"/>
      <c r="P26" s="172"/>
      <c r="Q26" s="172"/>
      <c r="R26" s="172"/>
      <c r="S26" s="172"/>
      <c r="T26" s="172"/>
      <c r="U26" s="172"/>
      <c r="V26" s="172"/>
      <c r="W26" s="243"/>
      <c r="X26" s="243"/>
      <c r="Y26" s="243"/>
      <c r="Z26" s="243"/>
      <c r="AA26" s="243"/>
      <c r="AB26" s="243"/>
      <c r="AC26" s="243"/>
      <c r="AD26" s="243"/>
      <c r="AE26" s="243"/>
      <c r="AF26" s="243"/>
      <c r="AG26" s="243"/>
      <c r="AH26" s="243"/>
      <c r="AI26" s="243"/>
      <c r="AJ26" s="243"/>
      <c r="AK26" s="243"/>
      <c r="AL26" s="243"/>
      <c r="AM26" s="243"/>
      <c r="AN26" s="243"/>
      <c r="AO26" s="243"/>
      <c r="AP26" s="243"/>
      <c r="AQ26" s="243"/>
      <c r="AR26" s="243"/>
      <c r="AS26" s="243"/>
      <c r="AT26" s="243"/>
      <c r="AU26" s="243"/>
      <c r="AV26" s="243"/>
    </row>
    <row r="27" spans="4:48">
      <c r="D27" s="38">
        <v>8</v>
      </c>
      <c r="E27" s="245"/>
      <c r="F27" s="245"/>
      <c r="G27" s="245"/>
      <c r="H27" s="245"/>
      <c r="I27" s="245"/>
      <c r="J27" s="245"/>
      <c r="K27" s="245"/>
      <c r="L27" s="245"/>
      <c r="M27" s="245"/>
      <c r="N27" s="172"/>
      <c r="O27" s="172"/>
      <c r="P27" s="172"/>
      <c r="Q27" s="172"/>
      <c r="R27" s="172"/>
      <c r="S27" s="172"/>
      <c r="T27" s="172"/>
      <c r="U27" s="172"/>
      <c r="V27" s="172"/>
      <c r="W27" s="243"/>
      <c r="X27" s="243"/>
      <c r="Y27" s="243"/>
      <c r="Z27" s="243"/>
      <c r="AA27" s="243"/>
      <c r="AB27" s="243"/>
      <c r="AC27" s="243"/>
      <c r="AD27" s="243"/>
      <c r="AE27" s="243"/>
      <c r="AF27" s="243"/>
      <c r="AG27" s="243"/>
      <c r="AH27" s="243"/>
      <c r="AI27" s="243"/>
      <c r="AJ27" s="243"/>
      <c r="AK27" s="243"/>
      <c r="AL27" s="243"/>
      <c r="AM27" s="243"/>
      <c r="AN27" s="243"/>
      <c r="AO27" s="243"/>
      <c r="AP27" s="243"/>
      <c r="AQ27" s="243"/>
      <c r="AR27" s="243"/>
      <c r="AS27" s="243"/>
      <c r="AT27" s="243"/>
      <c r="AU27" s="243"/>
      <c r="AV27" s="243"/>
    </row>
    <row r="28" spans="4:48">
      <c r="D28" s="254" t="s">
        <v>355</v>
      </c>
      <c r="E28" s="255"/>
      <c r="F28" s="255"/>
      <c r="G28" s="255"/>
      <c r="H28" s="255"/>
      <c r="I28" s="255"/>
      <c r="J28" s="255"/>
      <c r="K28" s="255"/>
      <c r="L28" s="255"/>
      <c r="M28" s="255"/>
      <c r="N28" s="255"/>
      <c r="O28" s="255"/>
      <c r="P28" s="255"/>
      <c r="Q28" s="255"/>
      <c r="R28" s="255"/>
      <c r="S28" s="255"/>
      <c r="T28" s="255"/>
      <c r="U28" s="255"/>
      <c r="V28" s="255"/>
      <c r="W28" s="256">
        <f>SUM(W20:W27)</f>
        <v>0</v>
      </c>
      <c r="X28" s="256"/>
      <c r="Y28" s="256"/>
      <c r="Z28" s="256"/>
      <c r="AA28" s="256"/>
      <c r="AB28" s="256">
        <f>SUM(AB20:AB27)</f>
        <v>0</v>
      </c>
      <c r="AC28" s="256"/>
      <c r="AD28" s="256"/>
      <c r="AE28" s="256"/>
      <c r="AF28" s="256"/>
      <c r="AG28" s="257"/>
      <c r="AH28" s="257"/>
      <c r="AI28" s="257"/>
      <c r="AJ28" s="257"/>
      <c r="AK28" s="257"/>
      <c r="AL28" s="257"/>
      <c r="AM28" s="257"/>
      <c r="AN28" s="48" t="s">
        <v>49</v>
      </c>
      <c r="AO28" s="68"/>
      <c r="AP28" s="243">
        <f>SUM(AP20:AP27)</f>
        <v>0</v>
      </c>
      <c r="AQ28" s="243"/>
      <c r="AR28" s="243"/>
      <c r="AS28" s="243"/>
      <c r="AT28" s="243"/>
      <c r="AU28" s="243"/>
      <c r="AV28" s="243"/>
    </row>
    <row r="29" spans="4:48">
      <c r="D29" s="258" t="s">
        <v>377</v>
      </c>
      <c r="E29" s="259"/>
      <c r="F29" s="259"/>
      <c r="G29" s="259"/>
      <c r="H29" s="259"/>
      <c r="I29" s="259"/>
      <c r="J29" s="259"/>
      <c r="K29" s="259"/>
      <c r="L29" s="259"/>
      <c r="M29" s="259"/>
      <c r="N29" s="259"/>
      <c r="O29" s="259"/>
      <c r="P29" s="259"/>
      <c r="Q29" s="259"/>
      <c r="R29" s="259"/>
      <c r="S29" s="259"/>
      <c r="T29" s="259"/>
      <c r="U29" s="259"/>
      <c r="V29" s="259"/>
      <c r="W29" s="259"/>
      <c r="X29" s="259"/>
      <c r="Y29" s="259"/>
      <c r="Z29" s="259"/>
      <c r="AA29" s="259"/>
      <c r="AB29" s="259"/>
      <c r="AC29" s="259"/>
      <c r="AD29" s="259"/>
      <c r="AE29" s="259"/>
      <c r="AF29" s="259"/>
      <c r="AG29" s="259"/>
      <c r="AH29" s="259"/>
      <c r="AI29" s="259"/>
      <c r="AJ29" s="259"/>
      <c r="AK29" s="259"/>
      <c r="AL29" s="259"/>
      <c r="AM29" s="259"/>
      <c r="AN29" s="48" t="s">
        <v>52</v>
      </c>
      <c r="AO29" s="65"/>
      <c r="AP29" s="243">
        <v>0</v>
      </c>
      <c r="AQ29" s="243"/>
      <c r="AR29" s="243"/>
      <c r="AS29" s="243"/>
      <c r="AT29" s="243"/>
      <c r="AU29" s="243"/>
      <c r="AV29" s="243"/>
    </row>
    <row r="30" spans="4:48">
      <c r="D30" s="57" t="s">
        <v>378</v>
      </c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3"/>
      <c r="AH30" s="16" t="s">
        <v>67</v>
      </c>
      <c r="AI30" s="49" t="s">
        <v>49</v>
      </c>
      <c r="AJ30" s="16" t="s">
        <v>68</v>
      </c>
      <c r="AK30" s="49" t="s">
        <v>52</v>
      </c>
      <c r="AL30" s="16" t="s">
        <v>69</v>
      </c>
      <c r="AM30" s="53"/>
      <c r="AN30" s="48" t="s">
        <v>101</v>
      </c>
      <c r="AO30" s="65"/>
      <c r="AP30" s="243">
        <f>AP28-AP29</f>
        <v>0</v>
      </c>
      <c r="AQ30" s="243"/>
      <c r="AR30" s="243"/>
      <c r="AS30" s="243"/>
      <c r="AT30" s="243"/>
      <c r="AU30" s="243"/>
      <c r="AV30" s="243"/>
    </row>
    <row r="32" spans="4:48" ht="3" customHeight="1"/>
    <row r="33" spans="4:48">
      <c r="D33" s="7" t="s">
        <v>35</v>
      </c>
      <c r="E33" s="8" t="s">
        <v>379</v>
      </c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</row>
    <row r="34" spans="4:48" ht="3" customHeight="1"/>
    <row r="35" spans="4:48">
      <c r="D35" s="151" t="s">
        <v>346</v>
      </c>
      <c r="E35" s="163" t="s">
        <v>380</v>
      </c>
      <c r="F35" s="151"/>
      <c r="G35" s="151"/>
      <c r="H35" s="151"/>
      <c r="I35" s="151"/>
      <c r="J35" s="151"/>
      <c r="K35" s="151"/>
      <c r="L35" s="151"/>
      <c r="M35" s="151"/>
      <c r="N35" s="151"/>
      <c r="O35" s="151"/>
      <c r="P35" s="151"/>
      <c r="Q35" s="151"/>
      <c r="R35" s="151"/>
      <c r="S35" s="151" t="s">
        <v>381</v>
      </c>
      <c r="T35" s="151"/>
      <c r="U35" s="151"/>
      <c r="V35" s="151"/>
      <c r="W35" s="151" t="s">
        <v>382</v>
      </c>
      <c r="X35" s="151"/>
      <c r="Y35" s="151"/>
      <c r="Z35" s="151"/>
      <c r="AA35" s="151"/>
      <c r="AB35" s="151"/>
      <c r="AC35" s="151"/>
      <c r="AD35" s="151"/>
      <c r="AE35" s="132" t="s">
        <v>383</v>
      </c>
      <c r="AF35" s="132"/>
      <c r="AG35" s="132"/>
      <c r="AH35" s="132"/>
      <c r="AI35" s="132"/>
      <c r="AJ35" s="132"/>
      <c r="AK35" s="132"/>
      <c r="AL35" s="132"/>
      <c r="AM35" s="132" t="s">
        <v>384</v>
      </c>
      <c r="AN35" s="132"/>
      <c r="AO35" s="132"/>
      <c r="AP35" s="132"/>
      <c r="AQ35" s="132"/>
      <c r="AR35" s="132"/>
      <c r="AS35" s="132"/>
      <c r="AT35" s="132"/>
      <c r="AU35" s="132"/>
      <c r="AV35" s="132"/>
    </row>
    <row r="36" spans="4:48">
      <c r="D36" s="151"/>
      <c r="E36" s="163"/>
      <c r="F36" s="151"/>
      <c r="G36" s="151"/>
      <c r="H36" s="151"/>
      <c r="I36" s="151"/>
      <c r="J36" s="151"/>
      <c r="K36" s="151"/>
      <c r="L36" s="151"/>
      <c r="M36" s="151"/>
      <c r="N36" s="151"/>
      <c r="O36" s="151"/>
      <c r="P36" s="151"/>
      <c r="Q36" s="151"/>
      <c r="R36" s="151"/>
      <c r="S36" s="151"/>
      <c r="T36" s="151"/>
      <c r="U36" s="151"/>
      <c r="V36" s="151"/>
      <c r="W36" s="151"/>
      <c r="X36" s="151"/>
      <c r="Y36" s="151"/>
      <c r="Z36" s="151"/>
      <c r="AA36" s="151"/>
      <c r="AB36" s="151"/>
      <c r="AC36" s="151"/>
      <c r="AD36" s="151"/>
      <c r="AE36" s="132"/>
      <c r="AF36" s="132"/>
      <c r="AG36" s="132"/>
      <c r="AH36" s="132"/>
      <c r="AI36" s="132"/>
      <c r="AJ36" s="132"/>
      <c r="AK36" s="132"/>
      <c r="AL36" s="132"/>
      <c r="AM36" s="132"/>
      <c r="AN36" s="132"/>
      <c r="AO36" s="132"/>
      <c r="AP36" s="132"/>
      <c r="AQ36" s="132"/>
      <c r="AR36" s="132"/>
      <c r="AS36" s="132"/>
      <c r="AT36" s="132"/>
      <c r="AU36" s="132"/>
      <c r="AV36" s="132"/>
    </row>
    <row r="37" spans="4:48">
      <c r="D37" s="151"/>
      <c r="E37" s="249" t="s">
        <v>30</v>
      </c>
      <c r="F37" s="161"/>
      <c r="G37" s="161"/>
      <c r="H37" s="161"/>
      <c r="I37" s="161"/>
      <c r="J37" s="161"/>
      <c r="K37" s="161"/>
      <c r="L37" s="161" t="s">
        <v>28</v>
      </c>
      <c r="M37" s="161"/>
      <c r="N37" s="161"/>
      <c r="O37" s="161"/>
      <c r="P37" s="161"/>
      <c r="Q37" s="161"/>
      <c r="R37" s="161"/>
      <c r="S37" s="151"/>
      <c r="T37" s="151"/>
      <c r="U37" s="151"/>
      <c r="V37" s="151"/>
      <c r="W37" s="161" t="s">
        <v>353</v>
      </c>
      <c r="X37" s="161"/>
      <c r="Y37" s="161"/>
      <c r="Z37" s="161"/>
      <c r="AA37" s="161"/>
      <c r="AB37" s="161"/>
      <c r="AC37" s="161"/>
      <c r="AD37" s="161"/>
      <c r="AE37" s="161" t="s">
        <v>353</v>
      </c>
      <c r="AF37" s="161"/>
      <c r="AG37" s="161"/>
      <c r="AH37" s="161"/>
      <c r="AI37" s="161"/>
      <c r="AJ37" s="161"/>
      <c r="AK37" s="161"/>
      <c r="AL37" s="161"/>
      <c r="AM37" s="161" t="s">
        <v>385</v>
      </c>
      <c r="AN37" s="161"/>
      <c r="AO37" s="161"/>
      <c r="AP37" s="161"/>
      <c r="AQ37" s="161"/>
      <c r="AR37" s="161" t="s">
        <v>176</v>
      </c>
      <c r="AS37" s="161"/>
      <c r="AT37" s="161"/>
      <c r="AU37" s="161"/>
      <c r="AV37" s="161"/>
    </row>
    <row r="38" spans="4:48">
      <c r="D38" s="128" t="s">
        <v>201</v>
      </c>
      <c r="E38" s="160" t="s">
        <v>202</v>
      </c>
      <c r="F38" s="161"/>
      <c r="G38" s="161"/>
      <c r="H38" s="161"/>
      <c r="I38" s="161"/>
      <c r="J38" s="161"/>
      <c r="K38" s="161"/>
      <c r="L38" s="162" t="s">
        <v>203</v>
      </c>
      <c r="M38" s="161"/>
      <c r="N38" s="161"/>
      <c r="O38" s="161"/>
      <c r="P38" s="161"/>
      <c r="Q38" s="161"/>
      <c r="R38" s="161"/>
      <c r="S38" s="162" t="s">
        <v>204</v>
      </c>
      <c r="T38" s="161"/>
      <c r="U38" s="161"/>
      <c r="V38" s="161"/>
      <c r="W38" s="162" t="s">
        <v>205</v>
      </c>
      <c r="X38" s="161"/>
      <c r="Y38" s="161"/>
      <c r="Z38" s="161"/>
      <c r="AA38" s="161"/>
      <c r="AB38" s="161"/>
      <c r="AC38" s="161"/>
      <c r="AD38" s="161"/>
      <c r="AE38" s="162" t="s">
        <v>354</v>
      </c>
      <c r="AF38" s="161"/>
      <c r="AG38" s="161"/>
      <c r="AH38" s="161"/>
      <c r="AI38" s="161"/>
      <c r="AJ38" s="161"/>
      <c r="AK38" s="161"/>
      <c r="AL38" s="161"/>
      <c r="AM38" s="162" t="s">
        <v>207</v>
      </c>
      <c r="AN38" s="161"/>
      <c r="AO38" s="161"/>
      <c r="AP38" s="161"/>
      <c r="AQ38" s="161"/>
      <c r="AR38" s="162" t="s">
        <v>208</v>
      </c>
      <c r="AS38" s="161"/>
      <c r="AT38" s="161"/>
      <c r="AU38" s="161"/>
      <c r="AV38" s="161"/>
    </row>
    <row r="39" spans="4:48">
      <c r="D39" s="33">
        <v>1</v>
      </c>
      <c r="E39" s="253"/>
      <c r="F39" s="235"/>
      <c r="G39" s="235"/>
      <c r="H39" s="235"/>
      <c r="I39" s="235"/>
      <c r="J39" s="235"/>
      <c r="K39" s="235"/>
      <c r="L39" s="235"/>
      <c r="M39" s="235"/>
      <c r="N39" s="235"/>
      <c r="O39" s="235"/>
      <c r="P39" s="235"/>
      <c r="Q39" s="235"/>
      <c r="R39" s="235"/>
      <c r="S39" s="235"/>
      <c r="T39" s="235"/>
      <c r="U39" s="235"/>
      <c r="V39" s="235"/>
      <c r="W39" s="232"/>
      <c r="X39" s="232"/>
      <c r="Y39" s="232"/>
      <c r="Z39" s="232"/>
      <c r="AA39" s="232"/>
      <c r="AB39" s="232"/>
      <c r="AC39" s="232"/>
      <c r="AD39" s="232"/>
      <c r="AE39" s="232"/>
      <c r="AF39" s="232"/>
      <c r="AG39" s="232"/>
      <c r="AH39" s="232"/>
      <c r="AI39" s="232"/>
      <c r="AJ39" s="232"/>
      <c r="AK39" s="232"/>
      <c r="AL39" s="232"/>
      <c r="AM39" s="231"/>
      <c r="AN39" s="231"/>
      <c r="AO39" s="231"/>
      <c r="AP39" s="231"/>
      <c r="AQ39" s="231"/>
      <c r="AR39" s="231"/>
      <c r="AS39" s="231"/>
      <c r="AT39" s="231"/>
      <c r="AU39" s="231"/>
      <c r="AV39" s="231"/>
    </row>
    <row r="40" spans="4:48">
      <c r="D40" s="33">
        <v>2</v>
      </c>
      <c r="E40" s="253"/>
      <c r="F40" s="235"/>
      <c r="G40" s="235"/>
      <c r="H40" s="235"/>
      <c r="I40" s="235"/>
      <c r="J40" s="235"/>
      <c r="K40" s="235"/>
      <c r="L40" s="235"/>
      <c r="M40" s="235"/>
      <c r="N40" s="235"/>
      <c r="O40" s="235"/>
      <c r="P40" s="235"/>
      <c r="Q40" s="235"/>
      <c r="R40" s="235"/>
      <c r="S40" s="235"/>
      <c r="T40" s="235"/>
      <c r="U40" s="235"/>
      <c r="V40" s="235"/>
      <c r="W40" s="232"/>
      <c r="X40" s="232"/>
      <c r="Y40" s="232"/>
      <c r="Z40" s="232"/>
      <c r="AA40" s="232"/>
      <c r="AB40" s="232"/>
      <c r="AC40" s="232"/>
      <c r="AD40" s="232"/>
      <c r="AE40" s="232"/>
      <c r="AF40" s="232"/>
      <c r="AG40" s="232"/>
      <c r="AH40" s="232"/>
      <c r="AI40" s="232"/>
      <c r="AJ40" s="232"/>
      <c r="AK40" s="232"/>
      <c r="AL40" s="232"/>
      <c r="AM40" s="231"/>
      <c r="AN40" s="231"/>
      <c r="AO40" s="231"/>
      <c r="AP40" s="231"/>
      <c r="AQ40" s="231"/>
      <c r="AR40" s="231"/>
      <c r="AS40" s="231"/>
      <c r="AT40" s="231"/>
      <c r="AU40" s="231"/>
      <c r="AV40" s="231"/>
    </row>
    <row r="41" spans="4:48">
      <c r="D41" s="33">
        <v>3</v>
      </c>
      <c r="E41" s="253"/>
      <c r="F41" s="235"/>
      <c r="G41" s="235"/>
      <c r="H41" s="235"/>
      <c r="I41" s="235"/>
      <c r="J41" s="235"/>
      <c r="K41" s="235"/>
      <c r="L41" s="235"/>
      <c r="M41" s="235"/>
      <c r="N41" s="235"/>
      <c r="O41" s="235"/>
      <c r="P41" s="235"/>
      <c r="Q41" s="235"/>
      <c r="R41" s="235"/>
      <c r="S41" s="235"/>
      <c r="T41" s="235"/>
      <c r="U41" s="235"/>
      <c r="V41" s="235"/>
      <c r="W41" s="232"/>
      <c r="X41" s="232"/>
      <c r="Y41" s="232"/>
      <c r="Z41" s="232"/>
      <c r="AA41" s="232"/>
      <c r="AB41" s="232"/>
      <c r="AC41" s="232"/>
      <c r="AD41" s="232"/>
      <c r="AE41" s="232"/>
      <c r="AF41" s="232"/>
      <c r="AG41" s="232"/>
      <c r="AH41" s="232"/>
      <c r="AI41" s="232"/>
      <c r="AJ41" s="232"/>
      <c r="AK41" s="232"/>
      <c r="AL41" s="232"/>
      <c r="AM41" s="231"/>
      <c r="AN41" s="231"/>
      <c r="AO41" s="231"/>
      <c r="AP41" s="231"/>
      <c r="AQ41" s="231"/>
      <c r="AR41" s="231"/>
      <c r="AS41" s="231"/>
      <c r="AT41" s="231"/>
      <c r="AU41" s="231"/>
      <c r="AV41" s="231"/>
    </row>
    <row r="42" spans="4:48">
      <c r="D42" s="33">
        <v>4</v>
      </c>
      <c r="E42" s="253"/>
      <c r="F42" s="235"/>
      <c r="G42" s="235"/>
      <c r="H42" s="235"/>
      <c r="I42" s="235"/>
      <c r="J42" s="235"/>
      <c r="K42" s="235"/>
      <c r="L42" s="235"/>
      <c r="M42" s="235"/>
      <c r="N42" s="235"/>
      <c r="O42" s="235"/>
      <c r="P42" s="235"/>
      <c r="Q42" s="235"/>
      <c r="R42" s="235"/>
      <c r="S42" s="235"/>
      <c r="T42" s="235"/>
      <c r="U42" s="235"/>
      <c r="V42" s="235"/>
      <c r="W42" s="232"/>
      <c r="X42" s="232"/>
      <c r="Y42" s="232"/>
      <c r="Z42" s="232"/>
      <c r="AA42" s="232"/>
      <c r="AB42" s="232"/>
      <c r="AC42" s="232"/>
      <c r="AD42" s="232"/>
      <c r="AE42" s="232"/>
      <c r="AF42" s="232"/>
      <c r="AG42" s="232"/>
      <c r="AH42" s="232"/>
      <c r="AI42" s="232"/>
      <c r="AJ42" s="232"/>
      <c r="AK42" s="232"/>
      <c r="AL42" s="232"/>
      <c r="AM42" s="231"/>
      <c r="AN42" s="231"/>
      <c r="AO42" s="231"/>
      <c r="AP42" s="231"/>
      <c r="AQ42" s="231"/>
      <c r="AR42" s="231"/>
      <c r="AS42" s="231"/>
      <c r="AT42" s="231"/>
      <c r="AU42" s="231"/>
      <c r="AV42" s="231"/>
    </row>
    <row r="43" spans="4:48">
      <c r="D43" s="33">
        <v>5</v>
      </c>
      <c r="E43" s="253"/>
      <c r="F43" s="235"/>
      <c r="G43" s="235"/>
      <c r="H43" s="235"/>
      <c r="I43" s="235"/>
      <c r="J43" s="235"/>
      <c r="K43" s="235"/>
      <c r="L43" s="235"/>
      <c r="M43" s="235"/>
      <c r="N43" s="235"/>
      <c r="O43" s="235"/>
      <c r="P43" s="235"/>
      <c r="Q43" s="235"/>
      <c r="R43" s="235"/>
      <c r="S43" s="235"/>
      <c r="T43" s="235"/>
      <c r="U43" s="235"/>
      <c r="V43" s="235"/>
      <c r="W43" s="232"/>
      <c r="X43" s="232"/>
      <c r="Y43" s="232"/>
      <c r="Z43" s="232"/>
      <c r="AA43" s="232"/>
      <c r="AB43" s="232"/>
      <c r="AC43" s="232"/>
      <c r="AD43" s="232"/>
      <c r="AE43" s="232"/>
      <c r="AF43" s="232"/>
      <c r="AG43" s="232"/>
      <c r="AH43" s="232"/>
      <c r="AI43" s="232"/>
      <c r="AJ43" s="232"/>
      <c r="AK43" s="232"/>
      <c r="AL43" s="232"/>
      <c r="AM43" s="231"/>
      <c r="AN43" s="231"/>
      <c r="AO43" s="231"/>
      <c r="AP43" s="231"/>
      <c r="AQ43" s="231"/>
      <c r="AR43" s="231"/>
      <c r="AS43" s="231"/>
      <c r="AT43" s="231"/>
      <c r="AU43" s="231"/>
      <c r="AV43" s="231"/>
    </row>
    <row r="44" spans="4:48">
      <c r="D44" s="33">
        <v>6</v>
      </c>
      <c r="E44" s="253"/>
      <c r="F44" s="235"/>
      <c r="G44" s="235"/>
      <c r="H44" s="235"/>
      <c r="I44" s="235"/>
      <c r="J44" s="235"/>
      <c r="K44" s="235"/>
      <c r="L44" s="235"/>
      <c r="M44" s="235"/>
      <c r="N44" s="235"/>
      <c r="O44" s="235"/>
      <c r="P44" s="235"/>
      <c r="Q44" s="235"/>
      <c r="R44" s="235"/>
      <c r="S44" s="235"/>
      <c r="T44" s="235"/>
      <c r="U44" s="235"/>
      <c r="V44" s="235"/>
      <c r="W44" s="232"/>
      <c r="X44" s="232"/>
      <c r="Y44" s="232"/>
      <c r="Z44" s="232"/>
      <c r="AA44" s="232"/>
      <c r="AB44" s="232"/>
      <c r="AC44" s="232"/>
      <c r="AD44" s="232"/>
      <c r="AE44" s="232"/>
      <c r="AF44" s="232"/>
      <c r="AG44" s="232"/>
      <c r="AH44" s="232"/>
      <c r="AI44" s="232"/>
      <c r="AJ44" s="232"/>
      <c r="AK44" s="232"/>
      <c r="AL44" s="232"/>
      <c r="AM44" s="231"/>
      <c r="AN44" s="231"/>
      <c r="AO44" s="231"/>
      <c r="AP44" s="231"/>
      <c r="AQ44" s="231"/>
      <c r="AR44" s="231"/>
      <c r="AS44" s="231"/>
      <c r="AT44" s="231"/>
      <c r="AU44" s="231"/>
      <c r="AV44" s="231"/>
    </row>
    <row r="45" spans="4:48">
      <c r="D45" s="33">
        <v>7</v>
      </c>
      <c r="E45" s="253"/>
      <c r="F45" s="235"/>
      <c r="G45" s="235"/>
      <c r="H45" s="235"/>
      <c r="I45" s="235"/>
      <c r="J45" s="235"/>
      <c r="K45" s="235"/>
      <c r="L45" s="235"/>
      <c r="M45" s="235"/>
      <c r="N45" s="235"/>
      <c r="O45" s="235"/>
      <c r="P45" s="235"/>
      <c r="Q45" s="235"/>
      <c r="R45" s="235"/>
      <c r="S45" s="235"/>
      <c r="T45" s="235"/>
      <c r="U45" s="235"/>
      <c r="V45" s="235"/>
      <c r="W45" s="232"/>
      <c r="X45" s="232"/>
      <c r="Y45" s="232"/>
      <c r="Z45" s="232"/>
      <c r="AA45" s="232"/>
      <c r="AB45" s="232"/>
      <c r="AC45" s="232"/>
      <c r="AD45" s="232"/>
      <c r="AE45" s="232"/>
      <c r="AF45" s="232"/>
      <c r="AG45" s="232"/>
      <c r="AH45" s="232"/>
      <c r="AI45" s="232"/>
      <c r="AJ45" s="232"/>
      <c r="AK45" s="232"/>
      <c r="AL45" s="232"/>
      <c r="AM45" s="231"/>
      <c r="AN45" s="231"/>
      <c r="AO45" s="231"/>
      <c r="AP45" s="231"/>
      <c r="AQ45" s="231"/>
      <c r="AR45" s="231"/>
      <c r="AS45" s="231"/>
      <c r="AT45" s="231"/>
      <c r="AU45" s="231"/>
      <c r="AV45" s="231"/>
    </row>
    <row r="46" spans="4:48">
      <c r="D46" s="33">
        <v>8</v>
      </c>
      <c r="E46" s="253"/>
      <c r="F46" s="235"/>
      <c r="G46" s="235"/>
      <c r="H46" s="235"/>
      <c r="I46" s="235"/>
      <c r="J46" s="235"/>
      <c r="K46" s="235"/>
      <c r="L46" s="235"/>
      <c r="M46" s="235"/>
      <c r="N46" s="235"/>
      <c r="O46" s="235"/>
      <c r="P46" s="235"/>
      <c r="Q46" s="235"/>
      <c r="R46" s="235"/>
      <c r="S46" s="235"/>
      <c r="T46" s="235"/>
      <c r="U46" s="235"/>
      <c r="V46" s="235"/>
      <c r="W46" s="232"/>
      <c r="X46" s="232"/>
      <c r="Y46" s="232"/>
      <c r="Z46" s="232"/>
      <c r="AA46" s="232"/>
      <c r="AB46" s="232"/>
      <c r="AC46" s="232"/>
      <c r="AD46" s="232"/>
      <c r="AE46" s="232"/>
      <c r="AF46" s="232"/>
      <c r="AG46" s="232"/>
      <c r="AH46" s="232"/>
      <c r="AI46" s="232"/>
      <c r="AJ46" s="232"/>
      <c r="AK46" s="232"/>
      <c r="AL46" s="232"/>
      <c r="AM46" s="231"/>
      <c r="AN46" s="231"/>
      <c r="AO46" s="231"/>
      <c r="AP46" s="231"/>
      <c r="AQ46" s="231"/>
      <c r="AR46" s="231"/>
      <c r="AS46" s="231"/>
      <c r="AT46" s="231"/>
      <c r="AU46" s="231"/>
      <c r="AV46" s="231"/>
    </row>
    <row r="47" spans="4:48">
      <c r="D47" s="33">
        <v>9</v>
      </c>
      <c r="E47" s="253"/>
      <c r="F47" s="235"/>
      <c r="G47" s="235"/>
      <c r="H47" s="235"/>
      <c r="I47" s="235"/>
      <c r="J47" s="235"/>
      <c r="K47" s="235"/>
      <c r="L47" s="235"/>
      <c r="M47" s="235"/>
      <c r="N47" s="235"/>
      <c r="O47" s="235"/>
      <c r="P47" s="235"/>
      <c r="Q47" s="235"/>
      <c r="R47" s="235"/>
      <c r="S47" s="235"/>
      <c r="T47" s="235"/>
      <c r="U47" s="235"/>
      <c r="V47" s="235"/>
      <c r="W47" s="232"/>
      <c r="X47" s="232"/>
      <c r="Y47" s="232"/>
      <c r="Z47" s="232"/>
      <c r="AA47" s="232"/>
      <c r="AB47" s="232"/>
      <c r="AC47" s="232"/>
      <c r="AD47" s="232"/>
      <c r="AE47" s="232"/>
      <c r="AF47" s="232"/>
      <c r="AG47" s="232"/>
      <c r="AH47" s="232"/>
      <c r="AI47" s="232"/>
      <c r="AJ47" s="232"/>
      <c r="AK47" s="232"/>
      <c r="AL47" s="232"/>
      <c r="AM47" s="231"/>
      <c r="AN47" s="231"/>
      <c r="AO47" s="231"/>
      <c r="AP47" s="231"/>
      <c r="AQ47" s="231"/>
      <c r="AR47" s="231"/>
      <c r="AS47" s="231"/>
      <c r="AT47" s="231"/>
      <c r="AU47" s="231"/>
      <c r="AV47" s="231"/>
    </row>
    <row r="48" spans="4:48">
      <c r="D48" s="57" t="s">
        <v>355</v>
      </c>
      <c r="E48" s="66"/>
      <c r="F48" s="66"/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49" t="s">
        <v>52</v>
      </c>
      <c r="V48" s="66"/>
      <c r="W48" s="232">
        <f>SUM(W39:W47)</f>
        <v>0</v>
      </c>
      <c r="X48" s="232"/>
      <c r="Y48" s="232"/>
      <c r="Z48" s="232"/>
      <c r="AA48" s="232"/>
      <c r="AB48" s="232"/>
      <c r="AC48" s="232"/>
      <c r="AD48" s="232"/>
      <c r="AE48" s="232">
        <f>SUM(AE39:AE47)</f>
        <v>0</v>
      </c>
      <c r="AF48" s="232"/>
      <c r="AG48" s="232"/>
      <c r="AH48" s="232"/>
      <c r="AI48" s="232"/>
      <c r="AJ48" s="232"/>
      <c r="AK48" s="232"/>
      <c r="AL48" s="232"/>
      <c r="AM48" s="226"/>
      <c r="AN48" s="226"/>
      <c r="AO48" s="226"/>
      <c r="AP48" s="226"/>
      <c r="AQ48" s="226"/>
      <c r="AR48" s="226"/>
      <c r="AS48" s="226"/>
      <c r="AT48" s="226"/>
      <c r="AU48" s="226"/>
      <c r="AV48" s="250"/>
    </row>
    <row r="49" spans="4:48">
      <c r="D49" s="57" t="s">
        <v>386</v>
      </c>
      <c r="E49" s="66"/>
      <c r="F49" s="66"/>
      <c r="G49" s="66"/>
      <c r="H49" s="66"/>
      <c r="I49" s="66"/>
      <c r="J49" s="66"/>
      <c r="K49" s="66"/>
      <c r="L49" s="66"/>
      <c r="M49" s="66"/>
      <c r="N49" s="66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  <c r="Z49" s="66"/>
      <c r="AA49" s="66"/>
      <c r="AB49" s="66"/>
      <c r="AC49" s="49" t="s">
        <v>52</v>
      </c>
      <c r="AD49" s="66"/>
      <c r="AE49" s="232">
        <f>AP30</f>
        <v>0</v>
      </c>
      <c r="AF49" s="232"/>
      <c r="AG49" s="232"/>
      <c r="AH49" s="232"/>
      <c r="AI49" s="232"/>
      <c r="AJ49" s="232"/>
      <c r="AK49" s="232"/>
      <c r="AL49" s="232"/>
      <c r="AM49" s="226"/>
      <c r="AN49" s="226"/>
      <c r="AO49" s="226"/>
      <c r="AP49" s="226"/>
      <c r="AQ49" s="226"/>
      <c r="AR49" s="226"/>
      <c r="AS49" s="226"/>
      <c r="AT49" s="226"/>
      <c r="AU49" s="226"/>
      <c r="AV49" s="250"/>
    </row>
    <row r="50" spans="4:48">
      <c r="D50" s="67" t="s">
        <v>387</v>
      </c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5"/>
      <c r="V50" s="65"/>
      <c r="W50" s="52" t="s">
        <v>67</v>
      </c>
      <c r="X50" s="48" t="s">
        <v>49</v>
      </c>
      <c r="Y50" s="52" t="s">
        <v>68</v>
      </c>
      <c r="Z50" s="48" t="s">
        <v>52</v>
      </c>
      <c r="AA50" s="52" t="s">
        <v>69</v>
      </c>
      <c r="AB50" s="65"/>
      <c r="AC50" s="48" t="s">
        <v>52</v>
      </c>
      <c r="AD50" s="65"/>
      <c r="AE50" s="232">
        <f>AE48-AE49</f>
        <v>0</v>
      </c>
      <c r="AF50" s="232"/>
      <c r="AG50" s="232"/>
      <c r="AH50" s="232"/>
      <c r="AI50" s="232"/>
      <c r="AJ50" s="232"/>
      <c r="AK50" s="232"/>
      <c r="AL50" s="232"/>
      <c r="AM50" s="251"/>
      <c r="AN50" s="251"/>
      <c r="AO50" s="251"/>
      <c r="AP50" s="251"/>
      <c r="AQ50" s="251"/>
      <c r="AR50" s="251"/>
      <c r="AS50" s="251"/>
      <c r="AT50" s="251"/>
      <c r="AU50" s="251"/>
      <c r="AV50" s="252"/>
    </row>
    <row r="51" spans="4:48">
      <c r="D51" s="36" t="s">
        <v>388</v>
      </c>
    </row>
    <row r="52" spans="4:48">
      <c r="AS52" s="131" t="s">
        <v>364</v>
      </c>
      <c r="AT52" s="131"/>
      <c r="AU52" s="131"/>
    </row>
    <row r="53" spans="4:48">
      <c r="AS53" s="131"/>
      <c r="AT53" s="131"/>
      <c r="AU53" s="131"/>
    </row>
  </sheetData>
  <mergeCells count="192">
    <mergeCell ref="AN7:AV7"/>
    <mergeCell ref="E19:I19"/>
    <mergeCell ref="J19:M19"/>
    <mergeCell ref="N19:R19"/>
    <mergeCell ref="S19:V19"/>
    <mergeCell ref="W19:AA19"/>
    <mergeCell ref="AB19:AF19"/>
    <mergeCell ref="AG19:AJ19"/>
    <mergeCell ref="AK19:AO19"/>
    <mergeCell ref="AP19:AV19"/>
    <mergeCell ref="D5:L11"/>
    <mergeCell ref="E20:I20"/>
    <mergeCell ref="J20:M20"/>
    <mergeCell ref="N20:R20"/>
    <mergeCell ref="S20:V20"/>
    <mergeCell ref="W20:AA20"/>
    <mergeCell ref="AB20:AF20"/>
    <mergeCell ref="AG20:AJ20"/>
    <mergeCell ref="AK20:AO20"/>
    <mergeCell ref="AP20:AV20"/>
    <mergeCell ref="E21:I21"/>
    <mergeCell ref="J21:M21"/>
    <mergeCell ref="N21:R21"/>
    <mergeCell ref="S21:V21"/>
    <mergeCell ref="W21:AA21"/>
    <mergeCell ref="AB21:AF21"/>
    <mergeCell ref="AG21:AJ21"/>
    <mergeCell ref="AK21:AO21"/>
    <mergeCell ref="AP21:AV21"/>
    <mergeCell ref="E22:I22"/>
    <mergeCell ref="J22:M22"/>
    <mergeCell ref="N22:R22"/>
    <mergeCell ref="S22:V22"/>
    <mergeCell ref="W22:AA22"/>
    <mergeCell ref="AB22:AF22"/>
    <mergeCell ref="AG22:AJ22"/>
    <mergeCell ref="AK22:AO22"/>
    <mergeCell ref="AP22:AV22"/>
    <mergeCell ref="E23:I23"/>
    <mergeCell ref="J23:M23"/>
    <mergeCell ref="N23:R23"/>
    <mergeCell ref="S23:V23"/>
    <mergeCell ref="W23:AA23"/>
    <mergeCell ref="AB23:AF23"/>
    <mergeCell ref="AG23:AJ23"/>
    <mergeCell ref="AK23:AO23"/>
    <mergeCell ref="AP23:AV23"/>
    <mergeCell ref="E24:I24"/>
    <mergeCell ref="J24:M24"/>
    <mergeCell ref="N24:R24"/>
    <mergeCell ref="S24:V24"/>
    <mergeCell ref="W24:AA24"/>
    <mergeCell ref="AB24:AF24"/>
    <mergeCell ref="AG24:AJ24"/>
    <mergeCell ref="AK24:AO24"/>
    <mergeCell ref="AP24:AV24"/>
    <mergeCell ref="E25:I25"/>
    <mergeCell ref="J25:M25"/>
    <mergeCell ref="N25:R25"/>
    <mergeCell ref="S25:V25"/>
    <mergeCell ref="W25:AA25"/>
    <mergeCell ref="AB25:AF25"/>
    <mergeCell ref="AG25:AJ25"/>
    <mergeCell ref="AK25:AO25"/>
    <mergeCell ref="AP25:AV25"/>
    <mergeCell ref="E26:I26"/>
    <mergeCell ref="J26:M26"/>
    <mergeCell ref="N26:R26"/>
    <mergeCell ref="S26:V26"/>
    <mergeCell ref="W26:AA26"/>
    <mergeCell ref="AB26:AF26"/>
    <mergeCell ref="AG26:AJ26"/>
    <mergeCell ref="AK26:AO26"/>
    <mergeCell ref="AP26:AV26"/>
    <mergeCell ref="E27:I27"/>
    <mergeCell ref="J27:M27"/>
    <mergeCell ref="N27:R27"/>
    <mergeCell ref="S27:V27"/>
    <mergeCell ref="W27:AA27"/>
    <mergeCell ref="AB27:AF27"/>
    <mergeCell ref="AG27:AJ27"/>
    <mergeCell ref="AK27:AO27"/>
    <mergeCell ref="AP27:AV27"/>
    <mergeCell ref="D28:V28"/>
    <mergeCell ref="W28:AA28"/>
    <mergeCell ref="AB28:AF28"/>
    <mergeCell ref="AG28:AM28"/>
    <mergeCell ref="AP28:AV28"/>
    <mergeCell ref="D29:AM29"/>
    <mergeCell ref="AP29:AV29"/>
    <mergeCell ref="AP30:AV30"/>
    <mergeCell ref="E37:K37"/>
    <mergeCell ref="L37:R37"/>
    <mergeCell ref="W37:AD37"/>
    <mergeCell ref="AE37:AL37"/>
    <mergeCell ref="AM37:AQ37"/>
    <mergeCell ref="AR37:AV37"/>
    <mergeCell ref="E38:K38"/>
    <mergeCell ref="L38:R38"/>
    <mergeCell ref="S38:V38"/>
    <mergeCell ref="W38:AD38"/>
    <mergeCell ref="AE38:AL38"/>
    <mergeCell ref="AM38:AQ38"/>
    <mergeCell ref="AR38:AV38"/>
    <mergeCell ref="E39:K39"/>
    <mergeCell ref="L39:R39"/>
    <mergeCell ref="S39:V39"/>
    <mergeCell ref="W39:AD39"/>
    <mergeCell ref="AE39:AL39"/>
    <mergeCell ref="AM39:AQ39"/>
    <mergeCell ref="AR39:AV39"/>
    <mergeCell ref="E40:K40"/>
    <mergeCell ref="L40:R40"/>
    <mergeCell ref="S40:V40"/>
    <mergeCell ref="W40:AD40"/>
    <mergeCell ref="AE40:AL40"/>
    <mergeCell ref="AM40:AQ40"/>
    <mergeCell ref="AR40:AV40"/>
    <mergeCell ref="E41:K41"/>
    <mergeCell ref="L41:R41"/>
    <mergeCell ref="S41:V41"/>
    <mergeCell ref="W41:AD41"/>
    <mergeCell ref="AE41:AL41"/>
    <mergeCell ref="AM41:AQ41"/>
    <mergeCell ref="AR41:AV41"/>
    <mergeCell ref="E42:K42"/>
    <mergeCell ref="L42:R42"/>
    <mergeCell ref="S42:V42"/>
    <mergeCell ref="W42:AD42"/>
    <mergeCell ref="AE42:AL42"/>
    <mergeCell ref="AM42:AQ42"/>
    <mergeCell ref="AR42:AV42"/>
    <mergeCell ref="E43:K43"/>
    <mergeCell ref="L43:R43"/>
    <mergeCell ref="S43:V43"/>
    <mergeCell ref="W43:AD43"/>
    <mergeCell ref="AE43:AL43"/>
    <mergeCell ref="AM43:AQ43"/>
    <mergeCell ref="AR43:AV43"/>
    <mergeCell ref="E44:K44"/>
    <mergeCell ref="L44:R44"/>
    <mergeCell ref="S44:V44"/>
    <mergeCell ref="W44:AD44"/>
    <mergeCell ref="AE44:AL44"/>
    <mergeCell ref="AM44:AQ44"/>
    <mergeCell ref="AR44:AV44"/>
    <mergeCell ref="E45:K45"/>
    <mergeCell ref="L45:R45"/>
    <mergeCell ref="S45:V45"/>
    <mergeCell ref="W45:AD45"/>
    <mergeCell ref="AE45:AL45"/>
    <mergeCell ref="AM45:AQ45"/>
    <mergeCell ref="AR45:AV45"/>
    <mergeCell ref="AM48:AV50"/>
    <mergeCell ref="E46:K46"/>
    <mergeCell ref="L46:R46"/>
    <mergeCell ref="S46:V46"/>
    <mergeCell ref="W46:AD46"/>
    <mergeCell ref="AE46:AL46"/>
    <mergeCell ref="AM46:AQ46"/>
    <mergeCell ref="AR46:AV46"/>
    <mergeCell ref="E47:K47"/>
    <mergeCell ref="L47:R47"/>
    <mergeCell ref="S47:V47"/>
    <mergeCell ref="W47:AD47"/>
    <mergeCell ref="AE47:AL47"/>
    <mergeCell ref="AM47:AQ47"/>
    <mergeCell ref="AR47:AV47"/>
    <mergeCell ref="AS52:AU53"/>
    <mergeCell ref="W48:AD48"/>
    <mergeCell ref="AE48:AL48"/>
    <mergeCell ref="AE49:AL49"/>
    <mergeCell ref="AE50:AL50"/>
    <mergeCell ref="D15:D18"/>
    <mergeCell ref="D35:D37"/>
    <mergeCell ref="AN3:AV5"/>
    <mergeCell ref="E17:I18"/>
    <mergeCell ref="J17:M18"/>
    <mergeCell ref="E15:M16"/>
    <mergeCell ref="N15:R18"/>
    <mergeCell ref="S15:V18"/>
    <mergeCell ref="W15:AA18"/>
    <mergeCell ref="AP15:AV18"/>
    <mergeCell ref="AK17:AO18"/>
    <mergeCell ref="AG17:AJ18"/>
    <mergeCell ref="AB17:AF18"/>
    <mergeCell ref="AB15:AO16"/>
    <mergeCell ref="AM35:AV36"/>
    <mergeCell ref="W35:AD36"/>
    <mergeCell ref="AE35:AL36"/>
    <mergeCell ref="S35:V37"/>
    <mergeCell ref="E35:R36"/>
  </mergeCells>
  <hyperlinks>
    <hyperlink ref="AS52:AU53" location="INDUK1!A1" display="HOME" xr:uid="{00000000-0004-0000-0600-000000000000}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D3:AS46"/>
  <sheetViews>
    <sheetView topLeftCell="A12" workbookViewId="0">
      <selection activeCell="AL19" sqref="AL19:AS19"/>
    </sheetView>
  </sheetViews>
  <sheetFormatPr defaultColWidth="9.1796875" defaultRowHeight="11.5"/>
  <cols>
    <col min="1" max="2" width="9.1796875" style="1"/>
    <col min="3" max="76" width="3.453125" style="1" customWidth="1"/>
    <col min="77" max="16384" width="9.1796875" style="1"/>
  </cols>
  <sheetData>
    <row r="3" spans="4:45" ht="15.5">
      <c r="D3" s="3"/>
      <c r="E3" s="4"/>
      <c r="F3" s="4"/>
      <c r="G3" s="4"/>
      <c r="H3" s="4"/>
      <c r="I3" s="4"/>
      <c r="J3" s="4"/>
      <c r="K3" s="4"/>
      <c r="L3" s="17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92" t="s">
        <v>389</v>
      </c>
      <c r="AL3" s="192"/>
      <c r="AM3" s="192"/>
      <c r="AN3" s="192"/>
      <c r="AO3" s="192"/>
      <c r="AP3" s="192"/>
      <c r="AQ3" s="192"/>
      <c r="AR3" s="192"/>
      <c r="AS3" s="193"/>
    </row>
    <row r="4" spans="4:45" ht="18">
      <c r="D4" s="5" t="s">
        <v>184</v>
      </c>
      <c r="E4" s="6"/>
      <c r="F4" s="6"/>
      <c r="G4" s="6"/>
      <c r="H4" s="6"/>
      <c r="I4" s="6"/>
      <c r="J4" s="6"/>
      <c r="K4" s="6"/>
      <c r="L4" s="19"/>
      <c r="M4" s="20"/>
      <c r="N4" s="21" t="s">
        <v>1</v>
      </c>
      <c r="O4" s="20"/>
      <c r="P4" s="20"/>
      <c r="Q4" s="20"/>
      <c r="R4" s="20"/>
      <c r="S4" s="20"/>
      <c r="T4" s="20"/>
      <c r="U4" s="20"/>
      <c r="V4" s="20"/>
      <c r="W4" s="20"/>
      <c r="X4" s="20"/>
      <c r="Y4" s="29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194"/>
      <c r="AL4" s="194"/>
      <c r="AM4" s="194"/>
      <c r="AN4" s="194"/>
      <c r="AO4" s="194"/>
      <c r="AP4" s="194"/>
      <c r="AQ4" s="194"/>
      <c r="AR4" s="194"/>
      <c r="AS4" s="195"/>
    </row>
    <row r="5" spans="4:45" ht="14">
      <c r="D5" s="227" t="s">
        <v>390</v>
      </c>
      <c r="E5" s="228"/>
      <c r="F5" s="228"/>
      <c r="G5" s="228"/>
      <c r="H5" s="228"/>
      <c r="I5" s="228"/>
      <c r="J5" s="228"/>
      <c r="K5" s="228"/>
      <c r="L5" s="228"/>
      <c r="M5" s="20"/>
      <c r="N5" s="22" t="s">
        <v>185</v>
      </c>
      <c r="O5" s="20"/>
      <c r="P5" s="20"/>
      <c r="Q5" s="20"/>
      <c r="R5" s="20"/>
      <c r="S5" s="20"/>
      <c r="T5" s="20"/>
      <c r="U5" s="20"/>
      <c r="V5" s="20"/>
      <c r="W5" s="20"/>
      <c r="X5" s="20"/>
      <c r="Y5" s="29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194"/>
      <c r="AL5" s="194"/>
      <c r="AM5" s="194"/>
      <c r="AN5" s="194"/>
      <c r="AO5" s="194"/>
      <c r="AP5" s="194"/>
      <c r="AQ5" s="194"/>
      <c r="AR5" s="194"/>
      <c r="AS5" s="195"/>
    </row>
    <row r="6" spans="4:45" ht="3" customHeight="1">
      <c r="D6" s="227"/>
      <c r="E6" s="228"/>
      <c r="F6" s="228"/>
      <c r="G6" s="228"/>
      <c r="H6" s="228"/>
      <c r="I6" s="228"/>
      <c r="J6" s="228"/>
      <c r="K6" s="228"/>
      <c r="L6" s="228"/>
      <c r="M6" s="20"/>
      <c r="N6" s="23"/>
      <c r="O6" s="20"/>
      <c r="P6" s="20"/>
      <c r="Q6" s="20"/>
      <c r="R6" s="20"/>
      <c r="S6" s="20"/>
      <c r="T6" s="20"/>
      <c r="U6" s="20"/>
      <c r="V6" s="20"/>
      <c r="W6" s="20"/>
      <c r="X6" s="20"/>
      <c r="Y6" s="29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30"/>
      <c r="AN6" s="30"/>
      <c r="AO6" s="30"/>
      <c r="AP6" s="30"/>
      <c r="AQ6" s="30"/>
      <c r="AR6" s="30"/>
      <c r="AS6" s="31"/>
    </row>
    <row r="7" spans="4:45">
      <c r="D7" s="227"/>
      <c r="E7" s="228"/>
      <c r="F7" s="228"/>
      <c r="G7" s="228"/>
      <c r="H7" s="228"/>
      <c r="I7" s="228"/>
      <c r="J7" s="228"/>
      <c r="K7" s="228"/>
      <c r="L7" s="228"/>
      <c r="M7" s="20"/>
      <c r="N7" s="23" t="s">
        <v>8</v>
      </c>
      <c r="O7" s="20"/>
      <c r="P7" s="20"/>
      <c r="Q7" s="20"/>
      <c r="R7" s="20"/>
      <c r="S7" s="20"/>
      <c r="T7" s="20"/>
      <c r="U7" s="20"/>
      <c r="V7" s="20"/>
      <c r="W7" s="20"/>
      <c r="X7" s="20"/>
      <c r="Y7" s="29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186" t="s">
        <v>188</v>
      </c>
      <c r="AL7" s="186"/>
      <c r="AM7" s="186"/>
      <c r="AN7" s="186"/>
      <c r="AO7" s="186"/>
      <c r="AP7" s="186"/>
      <c r="AQ7" s="186"/>
      <c r="AR7" s="186"/>
      <c r="AS7" s="187"/>
    </row>
    <row r="8" spans="4:45" ht="14">
      <c r="D8" s="227"/>
      <c r="E8" s="228"/>
      <c r="F8" s="228"/>
      <c r="G8" s="228"/>
      <c r="H8" s="228"/>
      <c r="I8" s="228"/>
      <c r="J8" s="228"/>
      <c r="K8" s="228"/>
      <c r="L8" s="228"/>
      <c r="M8" s="20"/>
      <c r="N8" s="262" t="s">
        <v>391</v>
      </c>
      <c r="O8" s="262"/>
      <c r="P8" s="262"/>
      <c r="Q8" s="262"/>
      <c r="R8" s="262"/>
      <c r="S8" s="262"/>
      <c r="T8" s="262"/>
      <c r="U8" s="262"/>
      <c r="V8" s="262"/>
      <c r="W8" s="262"/>
      <c r="X8" s="262"/>
      <c r="Y8" s="262"/>
      <c r="Z8" s="262"/>
      <c r="AA8" s="262"/>
      <c r="AB8" s="262"/>
      <c r="AC8" s="262"/>
      <c r="AD8" s="262"/>
      <c r="AE8" s="262"/>
      <c r="AF8" s="262"/>
      <c r="AG8" s="262"/>
      <c r="AH8" s="262"/>
      <c r="AI8" s="262"/>
      <c r="AJ8" s="20"/>
      <c r="AK8" s="20"/>
      <c r="AL8" s="20"/>
      <c r="AM8" s="28">
        <f>INDUK1!E14</f>
        <v>2</v>
      </c>
      <c r="AN8" s="28">
        <f>INDUK1!G14</f>
        <v>0</v>
      </c>
      <c r="AO8" s="28">
        <f>INDUK1!I14</f>
        <v>2</v>
      </c>
      <c r="AP8" s="28">
        <f>INDUK1!K14</f>
        <v>5</v>
      </c>
      <c r="AQ8" s="30"/>
      <c r="AR8" s="30"/>
      <c r="AS8" s="31"/>
    </row>
    <row r="9" spans="4:45" ht="14">
      <c r="D9" s="227"/>
      <c r="E9" s="228"/>
      <c r="F9" s="228"/>
      <c r="G9" s="228"/>
      <c r="H9" s="228"/>
      <c r="I9" s="228"/>
      <c r="J9" s="228"/>
      <c r="K9" s="228"/>
      <c r="L9" s="228"/>
      <c r="M9" s="20"/>
      <c r="N9" s="262"/>
      <c r="O9" s="262"/>
      <c r="P9" s="262"/>
      <c r="Q9" s="262"/>
      <c r="R9" s="262"/>
      <c r="S9" s="262"/>
      <c r="T9" s="262"/>
      <c r="U9" s="262"/>
      <c r="V9" s="262"/>
      <c r="W9" s="262"/>
      <c r="X9" s="262"/>
      <c r="Y9" s="262"/>
      <c r="Z9" s="262"/>
      <c r="AA9" s="262"/>
      <c r="AB9" s="262"/>
      <c r="AC9" s="262"/>
      <c r="AD9" s="262"/>
      <c r="AE9" s="262"/>
      <c r="AF9" s="262"/>
      <c r="AG9" s="262"/>
      <c r="AH9" s="262"/>
      <c r="AI9" s="262"/>
      <c r="AJ9" s="20"/>
      <c r="AK9" s="20"/>
      <c r="AL9" s="20"/>
      <c r="AM9" s="30"/>
      <c r="AN9" s="30"/>
      <c r="AO9" s="30"/>
      <c r="AP9" s="30"/>
      <c r="AQ9" s="30"/>
      <c r="AR9" s="30"/>
      <c r="AS9" s="31"/>
    </row>
    <row r="10" spans="4:45" ht="3" customHeight="1">
      <c r="D10" s="227"/>
      <c r="E10" s="228"/>
      <c r="F10" s="228"/>
      <c r="G10" s="228"/>
      <c r="H10" s="228"/>
      <c r="I10" s="228"/>
      <c r="J10" s="228"/>
      <c r="K10" s="228"/>
      <c r="L10" s="228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9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30"/>
      <c r="AN10" s="30"/>
      <c r="AO10" s="30"/>
      <c r="AP10" s="30"/>
      <c r="AQ10" s="30"/>
      <c r="AR10" s="30"/>
      <c r="AS10" s="31"/>
    </row>
    <row r="11" spans="4:45" ht="14">
      <c r="D11" s="227"/>
      <c r="E11" s="228"/>
      <c r="F11" s="228"/>
      <c r="G11" s="228"/>
      <c r="H11" s="228"/>
      <c r="I11" s="228"/>
      <c r="J11" s="228"/>
      <c r="K11" s="228"/>
      <c r="L11" s="228"/>
      <c r="M11" s="20"/>
      <c r="N11" s="25"/>
      <c r="O11" s="25" t="s">
        <v>28</v>
      </c>
      <c r="P11" s="20"/>
      <c r="Q11" s="20"/>
      <c r="R11" s="28">
        <f>INDUK1!AF21</f>
        <v>0</v>
      </c>
      <c r="S11" s="28">
        <f>INDUK1!AG21</f>
        <v>0</v>
      </c>
      <c r="T11" s="28">
        <f>INDUK1!AH21</f>
        <v>0</v>
      </c>
      <c r="U11" s="28">
        <f>INDUK1!AI21</f>
        <v>0</v>
      </c>
      <c r="V11" s="28">
        <f>INDUK1!AJ21</f>
        <v>0</v>
      </c>
      <c r="W11" s="28">
        <f>INDUK1!AK21</f>
        <v>0</v>
      </c>
      <c r="X11" s="28">
        <f>INDUK1!AL21</f>
        <v>0</v>
      </c>
      <c r="Y11" s="28">
        <f>INDUK1!AM21</f>
        <v>0</v>
      </c>
      <c r="Z11" s="28">
        <f>INDUK1!AN21</f>
        <v>0</v>
      </c>
      <c r="AA11" s="28">
        <f>INDUK1!AO21</f>
        <v>0</v>
      </c>
      <c r="AB11" s="28">
        <f>INDUK1!AP21</f>
        <v>0</v>
      </c>
      <c r="AC11" s="28">
        <f>INDUK1!AQ21</f>
        <v>0</v>
      </c>
      <c r="AD11" s="28">
        <f>INDUK1!AR21</f>
        <v>0</v>
      </c>
      <c r="AE11" s="28">
        <f>INDUK1!AS21</f>
        <v>0</v>
      </c>
      <c r="AF11" s="28">
        <f>INDUK1!AT21</f>
        <v>0</v>
      </c>
      <c r="AG11" s="28">
        <f>INDUK1!AU21</f>
        <v>0</v>
      </c>
      <c r="AH11" s="20"/>
      <c r="AI11" s="20"/>
      <c r="AJ11" s="20"/>
      <c r="AK11" s="20"/>
      <c r="AL11" s="20"/>
      <c r="AM11" s="30"/>
      <c r="AN11" s="30"/>
      <c r="AO11" s="30"/>
      <c r="AP11" s="30"/>
      <c r="AQ11" s="30"/>
      <c r="AR11" s="30"/>
      <c r="AS11" s="31"/>
    </row>
    <row r="12" spans="4:45">
      <c r="D12" s="229"/>
      <c r="E12" s="230"/>
      <c r="F12" s="230"/>
      <c r="G12" s="230"/>
      <c r="H12" s="230"/>
      <c r="I12" s="230"/>
      <c r="J12" s="230"/>
      <c r="K12" s="230"/>
      <c r="L12" s="230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32"/>
    </row>
    <row r="13" spans="4:45" ht="3" customHeight="1"/>
    <row r="14" spans="4:45">
      <c r="D14" s="7" t="s">
        <v>25</v>
      </c>
      <c r="E14" s="8" t="s">
        <v>392</v>
      </c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</row>
    <row r="15" spans="4:45" ht="3" customHeight="1"/>
    <row r="16" spans="4:45">
      <c r="D16" s="151" t="s">
        <v>346</v>
      </c>
      <c r="E16" s="161" t="s">
        <v>380</v>
      </c>
      <c r="F16" s="161"/>
      <c r="G16" s="161"/>
      <c r="H16" s="161"/>
      <c r="I16" s="161"/>
      <c r="J16" s="161"/>
      <c r="K16" s="161"/>
      <c r="L16" s="161"/>
      <c r="M16" s="161"/>
      <c r="N16" s="161"/>
      <c r="O16" s="161"/>
      <c r="P16" s="161"/>
      <c r="Q16" s="161"/>
      <c r="R16" s="161"/>
      <c r="S16" s="161"/>
      <c r="T16" s="161"/>
      <c r="U16" s="132" t="s">
        <v>393</v>
      </c>
      <c r="V16" s="132"/>
      <c r="W16" s="132"/>
      <c r="X16" s="132"/>
      <c r="Y16" s="151" t="s">
        <v>394</v>
      </c>
      <c r="Z16" s="151"/>
      <c r="AA16" s="151"/>
      <c r="AB16" s="151"/>
      <c r="AC16" s="185" t="s">
        <v>382</v>
      </c>
      <c r="AD16" s="185"/>
      <c r="AE16" s="185"/>
      <c r="AF16" s="185"/>
      <c r="AG16" s="185"/>
      <c r="AH16" s="185"/>
      <c r="AI16" s="185"/>
      <c r="AJ16" s="185" t="s">
        <v>395</v>
      </c>
      <c r="AK16" s="185"/>
      <c r="AL16" s="185" t="s">
        <v>396</v>
      </c>
      <c r="AM16" s="185"/>
      <c r="AN16" s="185"/>
      <c r="AO16" s="185"/>
      <c r="AP16" s="185"/>
      <c r="AQ16" s="185"/>
      <c r="AR16" s="185"/>
      <c r="AS16" s="185"/>
    </row>
    <row r="17" spans="4:45">
      <c r="D17" s="151"/>
      <c r="E17" s="161" t="s">
        <v>28</v>
      </c>
      <c r="F17" s="161"/>
      <c r="G17" s="161"/>
      <c r="H17" s="161"/>
      <c r="I17" s="161"/>
      <c r="J17" s="161"/>
      <c r="K17" s="161"/>
      <c r="L17" s="161" t="s">
        <v>30</v>
      </c>
      <c r="M17" s="161"/>
      <c r="N17" s="161"/>
      <c r="O17" s="161"/>
      <c r="P17" s="161"/>
      <c r="Q17" s="161"/>
      <c r="R17" s="161"/>
      <c r="S17" s="161"/>
      <c r="T17" s="161"/>
      <c r="U17" s="132"/>
      <c r="V17" s="132"/>
      <c r="W17" s="132"/>
      <c r="X17" s="132"/>
      <c r="Y17" s="151"/>
      <c r="Z17" s="151"/>
      <c r="AA17" s="151"/>
      <c r="AB17" s="151"/>
      <c r="AC17" s="159" t="s">
        <v>353</v>
      </c>
      <c r="AD17" s="159"/>
      <c r="AE17" s="159"/>
      <c r="AF17" s="159"/>
      <c r="AG17" s="159"/>
      <c r="AH17" s="159"/>
      <c r="AI17" s="159"/>
      <c r="AJ17" s="159" t="s">
        <v>397</v>
      </c>
      <c r="AK17" s="159"/>
      <c r="AL17" s="159" t="s">
        <v>353</v>
      </c>
      <c r="AM17" s="159"/>
      <c r="AN17" s="159"/>
      <c r="AO17" s="159"/>
      <c r="AP17" s="159"/>
      <c r="AQ17" s="159"/>
      <c r="AR17" s="159"/>
      <c r="AS17" s="159"/>
    </row>
    <row r="18" spans="4:45">
      <c r="D18" s="128" t="s">
        <v>201</v>
      </c>
      <c r="E18" s="162" t="s">
        <v>202</v>
      </c>
      <c r="F18" s="161"/>
      <c r="G18" s="161"/>
      <c r="H18" s="161"/>
      <c r="I18" s="161"/>
      <c r="J18" s="161"/>
      <c r="K18" s="161"/>
      <c r="L18" s="162" t="s">
        <v>203</v>
      </c>
      <c r="M18" s="161"/>
      <c r="N18" s="161"/>
      <c r="O18" s="161"/>
      <c r="P18" s="161"/>
      <c r="Q18" s="161"/>
      <c r="R18" s="161"/>
      <c r="S18" s="161"/>
      <c r="T18" s="161"/>
      <c r="U18" s="162" t="s">
        <v>204</v>
      </c>
      <c r="V18" s="161"/>
      <c r="W18" s="161"/>
      <c r="X18" s="161"/>
      <c r="Y18" s="162" t="s">
        <v>205</v>
      </c>
      <c r="Z18" s="161"/>
      <c r="AA18" s="161"/>
      <c r="AB18" s="161"/>
      <c r="AC18" s="162" t="s">
        <v>354</v>
      </c>
      <c r="AD18" s="161"/>
      <c r="AE18" s="161"/>
      <c r="AF18" s="161"/>
      <c r="AG18" s="161"/>
      <c r="AH18" s="161"/>
      <c r="AI18" s="161"/>
      <c r="AJ18" s="162" t="s">
        <v>207</v>
      </c>
      <c r="AK18" s="161"/>
      <c r="AL18" s="162" t="s">
        <v>208</v>
      </c>
      <c r="AM18" s="161"/>
      <c r="AN18" s="161"/>
      <c r="AO18" s="161"/>
      <c r="AP18" s="161"/>
      <c r="AQ18" s="161"/>
      <c r="AR18" s="161"/>
      <c r="AS18" s="161"/>
    </row>
    <row r="19" spans="4:45">
      <c r="D19" s="33"/>
      <c r="E19" s="231"/>
      <c r="F19" s="231"/>
      <c r="G19" s="231"/>
      <c r="H19" s="231"/>
      <c r="I19" s="231"/>
      <c r="J19" s="231"/>
      <c r="K19" s="231"/>
      <c r="L19" s="231"/>
      <c r="M19" s="231"/>
      <c r="N19" s="231"/>
      <c r="O19" s="231"/>
      <c r="P19" s="231"/>
      <c r="Q19" s="231"/>
      <c r="R19" s="231"/>
      <c r="S19" s="231"/>
      <c r="T19" s="231"/>
      <c r="U19" s="231"/>
      <c r="V19" s="231"/>
      <c r="W19" s="231"/>
      <c r="X19" s="231"/>
      <c r="Y19" s="231"/>
      <c r="Z19" s="231"/>
      <c r="AA19" s="231"/>
      <c r="AB19" s="231"/>
      <c r="AC19" s="232"/>
      <c r="AD19" s="232"/>
      <c r="AE19" s="232"/>
      <c r="AF19" s="232"/>
      <c r="AG19" s="232"/>
      <c r="AH19" s="232"/>
      <c r="AI19" s="232"/>
      <c r="AJ19" s="232"/>
      <c r="AK19" s="232"/>
      <c r="AL19" s="232"/>
      <c r="AM19" s="232"/>
      <c r="AN19" s="232"/>
      <c r="AO19" s="232"/>
      <c r="AP19" s="232"/>
      <c r="AQ19" s="232"/>
      <c r="AR19" s="232"/>
      <c r="AS19" s="232"/>
    </row>
    <row r="20" spans="4:45">
      <c r="D20" s="33"/>
      <c r="E20" s="231"/>
      <c r="F20" s="231"/>
      <c r="G20" s="231"/>
      <c r="H20" s="231"/>
      <c r="I20" s="231"/>
      <c r="J20" s="231"/>
      <c r="K20" s="231"/>
      <c r="L20" s="231"/>
      <c r="M20" s="231"/>
      <c r="N20" s="231"/>
      <c r="O20" s="231"/>
      <c r="P20" s="231"/>
      <c r="Q20" s="231"/>
      <c r="R20" s="231"/>
      <c r="S20" s="231"/>
      <c r="T20" s="231"/>
      <c r="U20" s="231"/>
      <c r="V20" s="231"/>
      <c r="W20" s="231"/>
      <c r="X20" s="231"/>
      <c r="Y20" s="231"/>
      <c r="Z20" s="231"/>
      <c r="AA20" s="231"/>
      <c r="AB20" s="231"/>
      <c r="AC20" s="232"/>
      <c r="AD20" s="232"/>
      <c r="AE20" s="232"/>
      <c r="AF20" s="232"/>
      <c r="AG20" s="232"/>
      <c r="AH20" s="232"/>
      <c r="AI20" s="232"/>
      <c r="AJ20" s="232"/>
      <c r="AK20" s="232"/>
      <c r="AL20" s="232"/>
      <c r="AM20" s="232"/>
      <c r="AN20" s="232"/>
      <c r="AO20" s="232"/>
      <c r="AP20" s="232"/>
      <c r="AQ20" s="232"/>
      <c r="AR20" s="232"/>
      <c r="AS20" s="232"/>
    </row>
    <row r="21" spans="4:45">
      <c r="D21" s="33"/>
      <c r="E21" s="231"/>
      <c r="F21" s="231"/>
      <c r="G21" s="231"/>
      <c r="H21" s="231"/>
      <c r="I21" s="231"/>
      <c r="J21" s="231"/>
      <c r="K21" s="231"/>
      <c r="L21" s="231"/>
      <c r="M21" s="231"/>
      <c r="N21" s="231"/>
      <c r="O21" s="231"/>
      <c r="P21" s="231"/>
      <c r="Q21" s="231"/>
      <c r="R21" s="231"/>
      <c r="S21" s="231"/>
      <c r="T21" s="231"/>
      <c r="U21" s="231"/>
      <c r="V21" s="231"/>
      <c r="W21" s="231"/>
      <c r="X21" s="231"/>
      <c r="Y21" s="231"/>
      <c r="Z21" s="231"/>
      <c r="AA21" s="231"/>
      <c r="AB21" s="231"/>
      <c r="AC21" s="232"/>
      <c r="AD21" s="232"/>
      <c r="AE21" s="232"/>
      <c r="AF21" s="232"/>
      <c r="AG21" s="232"/>
      <c r="AH21" s="232"/>
      <c r="AI21" s="232"/>
      <c r="AJ21" s="232"/>
      <c r="AK21" s="232"/>
      <c r="AL21" s="232"/>
      <c r="AM21" s="232"/>
      <c r="AN21" s="232"/>
      <c r="AO21" s="232"/>
      <c r="AP21" s="232"/>
      <c r="AQ21" s="232"/>
      <c r="AR21" s="232"/>
      <c r="AS21" s="232"/>
    </row>
    <row r="22" spans="4:45">
      <c r="D22" s="33"/>
      <c r="E22" s="231"/>
      <c r="F22" s="231"/>
      <c r="G22" s="231"/>
      <c r="H22" s="231"/>
      <c r="I22" s="231"/>
      <c r="J22" s="231"/>
      <c r="K22" s="231"/>
      <c r="L22" s="231"/>
      <c r="M22" s="231"/>
      <c r="N22" s="231"/>
      <c r="O22" s="231"/>
      <c r="P22" s="231"/>
      <c r="Q22" s="231"/>
      <c r="R22" s="231"/>
      <c r="S22" s="231"/>
      <c r="T22" s="231"/>
      <c r="U22" s="231"/>
      <c r="V22" s="231"/>
      <c r="W22" s="231"/>
      <c r="X22" s="231"/>
      <c r="Y22" s="231"/>
      <c r="Z22" s="231"/>
      <c r="AA22" s="231"/>
      <c r="AB22" s="231"/>
      <c r="AC22" s="232"/>
      <c r="AD22" s="232"/>
      <c r="AE22" s="232"/>
      <c r="AF22" s="232"/>
      <c r="AG22" s="232"/>
      <c r="AH22" s="232"/>
      <c r="AI22" s="232"/>
      <c r="AJ22" s="232"/>
      <c r="AK22" s="232"/>
      <c r="AL22" s="232"/>
      <c r="AM22" s="232"/>
      <c r="AN22" s="232"/>
      <c r="AO22" s="232"/>
      <c r="AP22" s="232"/>
      <c r="AQ22" s="232"/>
      <c r="AR22" s="232"/>
      <c r="AS22" s="232"/>
    </row>
    <row r="23" spans="4:45">
      <c r="D23" s="33"/>
      <c r="E23" s="231"/>
      <c r="F23" s="231"/>
      <c r="G23" s="231"/>
      <c r="H23" s="231"/>
      <c r="I23" s="231"/>
      <c r="J23" s="231"/>
      <c r="K23" s="231"/>
      <c r="L23" s="231"/>
      <c r="M23" s="231"/>
      <c r="N23" s="231"/>
      <c r="O23" s="231"/>
      <c r="P23" s="231"/>
      <c r="Q23" s="231"/>
      <c r="R23" s="231"/>
      <c r="S23" s="231"/>
      <c r="T23" s="231"/>
      <c r="U23" s="231"/>
      <c r="V23" s="231"/>
      <c r="W23" s="231"/>
      <c r="X23" s="231"/>
      <c r="Y23" s="231"/>
      <c r="Z23" s="231"/>
      <c r="AA23" s="231"/>
      <c r="AB23" s="231"/>
      <c r="AC23" s="232"/>
      <c r="AD23" s="232"/>
      <c r="AE23" s="232"/>
      <c r="AF23" s="232"/>
      <c r="AG23" s="232"/>
      <c r="AH23" s="232"/>
      <c r="AI23" s="232"/>
      <c r="AJ23" s="232"/>
      <c r="AK23" s="232"/>
      <c r="AL23" s="232"/>
      <c r="AM23" s="232"/>
      <c r="AN23" s="232"/>
      <c r="AO23" s="232"/>
      <c r="AP23" s="232"/>
      <c r="AQ23" s="232"/>
      <c r="AR23" s="232"/>
      <c r="AS23" s="232"/>
    </row>
    <row r="24" spans="4:45">
      <c r="D24" s="33"/>
      <c r="E24" s="231"/>
      <c r="F24" s="231"/>
      <c r="G24" s="231"/>
      <c r="H24" s="231"/>
      <c r="I24" s="231"/>
      <c r="J24" s="231"/>
      <c r="K24" s="231"/>
      <c r="L24" s="231"/>
      <c r="M24" s="231"/>
      <c r="N24" s="231"/>
      <c r="O24" s="231"/>
      <c r="P24" s="231"/>
      <c r="Q24" s="231"/>
      <c r="R24" s="231"/>
      <c r="S24" s="231"/>
      <c r="T24" s="231"/>
      <c r="U24" s="231"/>
      <c r="V24" s="231"/>
      <c r="W24" s="231"/>
      <c r="X24" s="231"/>
      <c r="Y24" s="231"/>
      <c r="Z24" s="231"/>
      <c r="AA24" s="231"/>
      <c r="AB24" s="231"/>
      <c r="AC24" s="232"/>
      <c r="AD24" s="232"/>
      <c r="AE24" s="232"/>
      <c r="AF24" s="232"/>
      <c r="AG24" s="232"/>
      <c r="AH24" s="232"/>
      <c r="AI24" s="232"/>
      <c r="AJ24" s="232"/>
      <c r="AK24" s="232"/>
      <c r="AL24" s="232"/>
      <c r="AM24" s="232"/>
      <c r="AN24" s="232"/>
      <c r="AO24" s="232"/>
      <c r="AP24" s="232"/>
      <c r="AQ24" s="232"/>
      <c r="AR24" s="232"/>
      <c r="AS24" s="232"/>
    </row>
    <row r="25" spans="4:45">
      <c r="D25" s="33"/>
      <c r="E25" s="231"/>
      <c r="F25" s="231"/>
      <c r="G25" s="231"/>
      <c r="H25" s="231"/>
      <c r="I25" s="231"/>
      <c r="J25" s="231"/>
      <c r="K25" s="231"/>
      <c r="L25" s="231"/>
      <c r="M25" s="231"/>
      <c r="N25" s="231"/>
      <c r="O25" s="231"/>
      <c r="P25" s="231"/>
      <c r="Q25" s="231"/>
      <c r="R25" s="231"/>
      <c r="S25" s="231"/>
      <c r="T25" s="231"/>
      <c r="U25" s="231"/>
      <c r="V25" s="231"/>
      <c r="W25" s="231"/>
      <c r="X25" s="231"/>
      <c r="Y25" s="231"/>
      <c r="Z25" s="231"/>
      <c r="AA25" s="231"/>
      <c r="AB25" s="231"/>
      <c r="AC25" s="232"/>
      <c r="AD25" s="232"/>
      <c r="AE25" s="232"/>
      <c r="AF25" s="232"/>
      <c r="AG25" s="232"/>
      <c r="AH25" s="232"/>
      <c r="AI25" s="232"/>
      <c r="AJ25" s="232"/>
      <c r="AK25" s="232"/>
      <c r="AL25" s="232"/>
      <c r="AM25" s="232"/>
      <c r="AN25" s="232"/>
      <c r="AO25" s="232"/>
      <c r="AP25" s="232"/>
      <c r="AQ25" s="232"/>
      <c r="AR25" s="232"/>
      <c r="AS25" s="232"/>
    </row>
    <row r="26" spans="4:45">
      <c r="D26" s="33"/>
      <c r="E26" s="231"/>
      <c r="F26" s="231"/>
      <c r="G26" s="231"/>
      <c r="H26" s="231"/>
      <c r="I26" s="231"/>
      <c r="J26" s="231"/>
      <c r="K26" s="231"/>
      <c r="L26" s="231"/>
      <c r="M26" s="231"/>
      <c r="N26" s="231"/>
      <c r="O26" s="231"/>
      <c r="P26" s="231"/>
      <c r="Q26" s="231"/>
      <c r="R26" s="231"/>
      <c r="S26" s="231"/>
      <c r="T26" s="231"/>
      <c r="U26" s="231"/>
      <c r="V26" s="231"/>
      <c r="W26" s="231"/>
      <c r="X26" s="231"/>
      <c r="Y26" s="231"/>
      <c r="Z26" s="231"/>
      <c r="AA26" s="231"/>
      <c r="AB26" s="231"/>
      <c r="AC26" s="232"/>
      <c r="AD26" s="232"/>
      <c r="AE26" s="232"/>
      <c r="AF26" s="232"/>
      <c r="AG26" s="232"/>
      <c r="AH26" s="232"/>
      <c r="AI26" s="232"/>
      <c r="AJ26" s="232"/>
      <c r="AK26" s="232"/>
      <c r="AL26" s="232"/>
      <c r="AM26" s="232"/>
      <c r="AN26" s="232"/>
      <c r="AO26" s="232"/>
      <c r="AP26" s="232"/>
      <c r="AQ26" s="232"/>
      <c r="AR26" s="232"/>
      <c r="AS26" s="232"/>
    </row>
    <row r="27" spans="4:45">
      <c r="D27" s="258" t="s">
        <v>355</v>
      </c>
      <c r="E27" s="259"/>
      <c r="F27" s="259"/>
      <c r="G27" s="259"/>
      <c r="H27" s="259"/>
      <c r="I27" s="259"/>
      <c r="J27" s="259"/>
      <c r="K27" s="259"/>
      <c r="L27" s="259"/>
      <c r="M27" s="259"/>
      <c r="N27" s="259"/>
      <c r="O27" s="259"/>
      <c r="P27" s="259"/>
      <c r="Q27" s="259"/>
      <c r="R27" s="259"/>
      <c r="S27" s="259"/>
      <c r="T27" s="259"/>
      <c r="U27" s="259"/>
      <c r="V27" s="259"/>
      <c r="W27" s="259"/>
      <c r="X27" s="259"/>
      <c r="Y27" s="259"/>
      <c r="Z27" s="259"/>
      <c r="AA27" s="48" t="s">
        <v>398</v>
      </c>
      <c r="AB27" s="65"/>
      <c r="AC27" s="232">
        <f>SUM(AC19:AC26)</f>
        <v>0</v>
      </c>
      <c r="AD27" s="232"/>
      <c r="AE27" s="232"/>
      <c r="AF27" s="232"/>
      <c r="AG27" s="232"/>
      <c r="AH27" s="232"/>
      <c r="AI27" s="232"/>
      <c r="AJ27" s="263"/>
      <c r="AK27" s="263"/>
      <c r="AL27" s="232">
        <f>SUM(AL19:AL26)</f>
        <v>0</v>
      </c>
      <c r="AM27" s="232"/>
      <c r="AN27" s="232"/>
      <c r="AO27" s="232"/>
      <c r="AP27" s="232"/>
      <c r="AQ27" s="232"/>
      <c r="AR27" s="232"/>
      <c r="AS27" s="232"/>
    </row>
    <row r="28" spans="4:45">
      <c r="D28" s="36" t="s">
        <v>399</v>
      </c>
    </row>
    <row r="29" spans="4:45" ht="3" customHeight="1"/>
    <row r="30" spans="4:45">
      <c r="D30" s="7" t="s">
        <v>35</v>
      </c>
      <c r="E30" s="8" t="s">
        <v>400</v>
      </c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  <c r="AO30" s="34"/>
      <c r="AP30" s="34"/>
      <c r="AQ30" s="34"/>
      <c r="AR30" s="34"/>
      <c r="AS30" s="34"/>
    </row>
    <row r="31" spans="4:45" ht="3" customHeight="1"/>
    <row r="32" spans="4:45">
      <c r="D32" s="151" t="s">
        <v>346</v>
      </c>
      <c r="E32" s="151" t="s">
        <v>401</v>
      </c>
      <c r="F32" s="151"/>
      <c r="G32" s="151"/>
      <c r="H32" s="151"/>
      <c r="I32" s="151"/>
      <c r="J32" s="151"/>
      <c r="K32" s="151"/>
      <c r="L32" s="151"/>
      <c r="M32" s="151"/>
      <c r="N32" s="151" t="s">
        <v>371</v>
      </c>
      <c r="O32" s="151"/>
      <c r="P32" s="151"/>
      <c r="Q32" s="151"/>
      <c r="R32" s="151"/>
      <c r="S32" s="151"/>
      <c r="T32" s="151"/>
      <c r="U32" s="151"/>
      <c r="V32" s="151"/>
      <c r="W32" s="151"/>
      <c r="X32" s="151" t="s">
        <v>402</v>
      </c>
      <c r="Y32" s="151"/>
      <c r="Z32" s="151"/>
      <c r="AA32" s="151"/>
      <c r="AB32" s="151"/>
      <c r="AC32" s="151"/>
      <c r="AD32" s="151"/>
      <c r="AE32" s="151"/>
      <c r="AF32" s="151"/>
      <c r="AG32" s="151"/>
      <c r="AH32" s="151"/>
      <c r="AI32" s="151"/>
      <c r="AJ32" s="151" t="s">
        <v>403</v>
      </c>
      <c r="AK32" s="151"/>
      <c r="AL32" s="151"/>
      <c r="AM32" s="151"/>
      <c r="AN32" s="151"/>
      <c r="AO32" s="151"/>
      <c r="AP32" s="151"/>
      <c r="AQ32" s="151"/>
      <c r="AR32" s="151"/>
      <c r="AS32" s="151"/>
    </row>
    <row r="33" spans="4:45">
      <c r="D33" s="151"/>
      <c r="E33" s="151"/>
      <c r="F33" s="151"/>
      <c r="G33" s="151"/>
      <c r="H33" s="151"/>
      <c r="I33" s="151"/>
      <c r="J33" s="151"/>
      <c r="K33" s="151"/>
      <c r="L33" s="151"/>
      <c r="M33" s="151"/>
      <c r="N33" s="151"/>
      <c r="O33" s="151"/>
      <c r="P33" s="151"/>
      <c r="Q33" s="151"/>
      <c r="R33" s="151"/>
      <c r="S33" s="151"/>
      <c r="T33" s="151"/>
      <c r="U33" s="151"/>
      <c r="V33" s="151"/>
      <c r="W33" s="151"/>
      <c r="X33" s="151"/>
      <c r="Y33" s="151"/>
      <c r="Z33" s="151"/>
      <c r="AA33" s="151"/>
      <c r="AB33" s="151"/>
      <c r="AC33" s="151"/>
      <c r="AD33" s="151"/>
      <c r="AE33" s="151"/>
      <c r="AF33" s="151"/>
      <c r="AG33" s="151"/>
      <c r="AH33" s="151"/>
      <c r="AI33" s="151"/>
      <c r="AJ33" s="151"/>
      <c r="AK33" s="151"/>
      <c r="AL33" s="151"/>
      <c r="AM33" s="151"/>
      <c r="AN33" s="151"/>
      <c r="AO33" s="151"/>
      <c r="AP33" s="151"/>
      <c r="AQ33" s="151"/>
      <c r="AR33" s="151"/>
      <c r="AS33" s="151"/>
    </row>
    <row r="34" spans="4:45">
      <c r="D34" s="128" t="s">
        <v>201</v>
      </c>
      <c r="E34" s="162" t="s">
        <v>202</v>
      </c>
      <c r="F34" s="161"/>
      <c r="G34" s="161"/>
      <c r="H34" s="161"/>
      <c r="I34" s="161"/>
      <c r="J34" s="161"/>
      <c r="K34" s="161"/>
      <c r="L34" s="161"/>
      <c r="M34" s="161"/>
      <c r="N34" s="162" t="s">
        <v>203</v>
      </c>
      <c r="O34" s="161"/>
      <c r="P34" s="161"/>
      <c r="Q34" s="161"/>
      <c r="R34" s="161"/>
      <c r="S34" s="161"/>
      <c r="T34" s="161"/>
      <c r="U34" s="161"/>
      <c r="V34" s="161"/>
      <c r="W34" s="161"/>
      <c r="X34" s="162" t="s">
        <v>204</v>
      </c>
      <c r="Y34" s="161"/>
      <c r="Z34" s="161"/>
      <c r="AA34" s="161"/>
      <c r="AB34" s="161"/>
      <c r="AC34" s="161"/>
      <c r="AD34" s="161"/>
      <c r="AE34" s="161"/>
      <c r="AF34" s="161"/>
      <c r="AG34" s="161"/>
      <c r="AH34" s="161"/>
      <c r="AI34" s="161"/>
      <c r="AJ34" s="162" t="s">
        <v>205</v>
      </c>
      <c r="AK34" s="161"/>
      <c r="AL34" s="161"/>
      <c r="AM34" s="161"/>
      <c r="AN34" s="161"/>
      <c r="AO34" s="161"/>
      <c r="AP34" s="161"/>
      <c r="AQ34" s="161"/>
      <c r="AR34" s="161"/>
      <c r="AS34" s="161"/>
    </row>
    <row r="35" spans="4:45">
      <c r="D35" s="33"/>
      <c r="E35" s="231"/>
      <c r="F35" s="231"/>
      <c r="G35" s="231"/>
      <c r="H35" s="231"/>
      <c r="I35" s="231"/>
      <c r="J35" s="231"/>
      <c r="K35" s="231"/>
      <c r="L35" s="231"/>
      <c r="M35" s="231"/>
      <c r="N35" s="231"/>
      <c r="O35" s="231"/>
      <c r="P35" s="231"/>
      <c r="Q35" s="231"/>
      <c r="R35" s="231"/>
      <c r="S35" s="231"/>
      <c r="T35" s="231"/>
      <c r="U35" s="231"/>
      <c r="V35" s="231"/>
      <c r="W35" s="231"/>
      <c r="X35" s="231"/>
      <c r="Y35" s="231"/>
      <c r="Z35" s="231"/>
      <c r="AA35" s="231"/>
      <c r="AB35" s="231"/>
      <c r="AC35" s="231"/>
      <c r="AD35" s="231"/>
      <c r="AE35" s="231"/>
      <c r="AF35" s="231"/>
      <c r="AG35" s="231"/>
      <c r="AH35" s="231"/>
      <c r="AI35" s="231"/>
      <c r="AJ35" s="176"/>
      <c r="AK35" s="176"/>
      <c r="AL35" s="176"/>
      <c r="AM35" s="176"/>
      <c r="AN35" s="176"/>
      <c r="AO35" s="176"/>
      <c r="AP35" s="176"/>
      <c r="AQ35" s="176"/>
      <c r="AR35" s="176"/>
      <c r="AS35" s="176"/>
    </row>
    <row r="36" spans="4:45">
      <c r="D36" s="33"/>
      <c r="E36" s="231"/>
      <c r="F36" s="231"/>
      <c r="G36" s="231"/>
      <c r="H36" s="231"/>
      <c r="I36" s="231"/>
      <c r="J36" s="231"/>
      <c r="K36" s="231"/>
      <c r="L36" s="231"/>
      <c r="M36" s="231"/>
      <c r="N36" s="231"/>
      <c r="O36" s="231"/>
      <c r="P36" s="231"/>
      <c r="Q36" s="231"/>
      <c r="R36" s="231"/>
      <c r="S36" s="231"/>
      <c r="T36" s="231"/>
      <c r="U36" s="231"/>
      <c r="V36" s="231"/>
      <c r="W36" s="231"/>
      <c r="X36" s="231"/>
      <c r="Y36" s="231"/>
      <c r="Z36" s="231"/>
      <c r="AA36" s="231"/>
      <c r="AB36" s="231"/>
      <c r="AC36" s="231"/>
      <c r="AD36" s="231"/>
      <c r="AE36" s="231"/>
      <c r="AF36" s="231"/>
      <c r="AG36" s="231"/>
      <c r="AH36" s="231"/>
      <c r="AI36" s="231"/>
      <c r="AJ36" s="176"/>
      <c r="AK36" s="176"/>
      <c r="AL36" s="176"/>
      <c r="AM36" s="176"/>
      <c r="AN36" s="176"/>
      <c r="AO36" s="176"/>
      <c r="AP36" s="176"/>
      <c r="AQ36" s="176"/>
      <c r="AR36" s="176"/>
      <c r="AS36" s="176"/>
    </row>
    <row r="37" spans="4:45">
      <c r="D37" s="33"/>
      <c r="E37" s="231"/>
      <c r="F37" s="231"/>
      <c r="G37" s="231"/>
      <c r="H37" s="231"/>
      <c r="I37" s="231"/>
      <c r="J37" s="231"/>
      <c r="K37" s="231"/>
      <c r="L37" s="231"/>
      <c r="M37" s="231"/>
      <c r="N37" s="231"/>
      <c r="O37" s="231"/>
      <c r="P37" s="231"/>
      <c r="Q37" s="231"/>
      <c r="R37" s="231"/>
      <c r="S37" s="231"/>
      <c r="T37" s="231"/>
      <c r="U37" s="231"/>
      <c r="V37" s="231"/>
      <c r="W37" s="231"/>
      <c r="X37" s="231"/>
      <c r="Y37" s="231"/>
      <c r="Z37" s="231"/>
      <c r="AA37" s="231"/>
      <c r="AB37" s="231"/>
      <c r="AC37" s="231"/>
      <c r="AD37" s="231"/>
      <c r="AE37" s="231"/>
      <c r="AF37" s="231"/>
      <c r="AG37" s="231"/>
      <c r="AH37" s="231"/>
      <c r="AI37" s="231"/>
      <c r="AJ37" s="176"/>
      <c r="AK37" s="176"/>
      <c r="AL37" s="176"/>
      <c r="AM37" s="176"/>
      <c r="AN37" s="176"/>
      <c r="AO37" s="176"/>
      <c r="AP37" s="176"/>
      <c r="AQ37" s="176"/>
      <c r="AR37" s="176"/>
      <c r="AS37" s="176"/>
    </row>
    <row r="38" spans="4:45">
      <c r="D38" s="33"/>
      <c r="E38" s="231"/>
      <c r="F38" s="231"/>
      <c r="G38" s="231"/>
      <c r="H38" s="231"/>
      <c r="I38" s="231"/>
      <c r="J38" s="231"/>
      <c r="K38" s="231"/>
      <c r="L38" s="231"/>
      <c r="M38" s="231"/>
      <c r="N38" s="231"/>
      <c r="O38" s="231"/>
      <c r="P38" s="231"/>
      <c r="Q38" s="231"/>
      <c r="R38" s="231"/>
      <c r="S38" s="231"/>
      <c r="T38" s="231"/>
      <c r="U38" s="231"/>
      <c r="V38" s="231"/>
      <c r="W38" s="231"/>
      <c r="X38" s="231"/>
      <c r="Y38" s="231"/>
      <c r="Z38" s="231"/>
      <c r="AA38" s="231"/>
      <c r="AB38" s="231"/>
      <c r="AC38" s="231"/>
      <c r="AD38" s="231"/>
      <c r="AE38" s="231"/>
      <c r="AF38" s="231"/>
      <c r="AG38" s="231"/>
      <c r="AH38" s="231"/>
      <c r="AI38" s="231"/>
      <c r="AJ38" s="176"/>
      <c r="AK38" s="176"/>
      <c r="AL38" s="176"/>
      <c r="AM38" s="176"/>
      <c r="AN38" s="176"/>
      <c r="AO38" s="176"/>
      <c r="AP38" s="176"/>
      <c r="AQ38" s="176"/>
      <c r="AR38" s="176"/>
      <c r="AS38" s="176"/>
    </row>
    <row r="39" spans="4:45">
      <c r="D39" s="33"/>
      <c r="E39" s="231"/>
      <c r="F39" s="231"/>
      <c r="G39" s="231"/>
      <c r="H39" s="231"/>
      <c r="I39" s="231"/>
      <c r="J39" s="231"/>
      <c r="K39" s="231"/>
      <c r="L39" s="231"/>
      <c r="M39" s="231"/>
      <c r="N39" s="231"/>
      <c r="O39" s="231"/>
      <c r="P39" s="231"/>
      <c r="Q39" s="231"/>
      <c r="R39" s="231"/>
      <c r="S39" s="231"/>
      <c r="T39" s="231"/>
      <c r="U39" s="231"/>
      <c r="V39" s="231"/>
      <c r="W39" s="231"/>
      <c r="X39" s="231"/>
      <c r="Y39" s="231"/>
      <c r="Z39" s="231"/>
      <c r="AA39" s="231"/>
      <c r="AB39" s="231"/>
      <c r="AC39" s="231"/>
      <c r="AD39" s="231"/>
      <c r="AE39" s="231"/>
      <c r="AF39" s="231"/>
      <c r="AG39" s="231"/>
      <c r="AH39" s="231"/>
      <c r="AI39" s="231"/>
      <c r="AJ39" s="176"/>
      <c r="AK39" s="176"/>
      <c r="AL39" s="176"/>
      <c r="AM39" s="176"/>
      <c r="AN39" s="176"/>
      <c r="AO39" s="176"/>
      <c r="AP39" s="176"/>
      <c r="AQ39" s="176"/>
      <c r="AR39" s="176"/>
      <c r="AS39" s="176"/>
    </row>
    <row r="40" spans="4:45">
      <c r="D40" s="33"/>
      <c r="E40" s="231"/>
      <c r="F40" s="231"/>
      <c r="G40" s="231"/>
      <c r="H40" s="231"/>
      <c r="I40" s="231"/>
      <c r="J40" s="231"/>
      <c r="K40" s="231"/>
      <c r="L40" s="231"/>
      <c r="M40" s="231"/>
      <c r="N40" s="231"/>
      <c r="O40" s="231"/>
      <c r="P40" s="231"/>
      <c r="Q40" s="231"/>
      <c r="R40" s="231"/>
      <c r="S40" s="231"/>
      <c r="T40" s="231"/>
      <c r="U40" s="231"/>
      <c r="V40" s="231"/>
      <c r="W40" s="231"/>
      <c r="X40" s="231"/>
      <c r="Y40" s="231"/>
      <c r="Z40" s="231"/>
      <c r="AA40" s="231"/>
      <c r="AB40" s="231"/>
      <c r="AC40" s="231"/>
      <c r="AD40" s="231"/>
      <c r="AE40" s="231"/>
      <c r="AF40" s="231"/>
      <c r="AG40" s="231"/>
      <c r="AH40" s="231"/>
      <c r="AI40" s="231"/>
      <c r="AJ40" s="176"/>
      <c r="AK40" s="176"/>
      <c r="AL40" s="176"/>
      <c r="AM40" s="176"/>
      <c r="AN40" s="176"/>
      <c r="AO40" s="176"/>
      <c r="AP40" s="176"/>
      <c r="AQ40" s="176"/>
      <c r="AR40" s="176"/>
      <c r="AS40" s="176"/>
    </row>
    <row r="41" spans="4:45">
      <c r="D41" s="33"/>
      <c r="E41" s="231"/>
      <c r="F41" s="231"/>
      <c r="G41" s="231"/>
      <c r="H41" s="231"/>
      <c r="I41" s="231"/>
      <c r="J41" s="231"/>
      <c r="K41" s="231"/>
      <c r="L41" s="231"/>
      <c r="M41" s="231"/>
      <c r="N41" s="231"/>
      <c r="O41" s="231"/>
      <c r="P41" s="231"/>
      <c r="Q41" s="231"/>
      <c r="R41" s="231"/>
      <c r="S41" s="231"/>
      <c r="T41" s="231"/>
      <c r="U41" s="231"/>
      <c r="V41" s="231"/>
      <c r="W41" s="231"/>
      <c r="X41" s="231"/>
      <c r="Y41" s="231"/>
      <c r="Z41" s="231"/>
      <c r="AA41" s="231"/>
      <c r="AB41" s="231"/>
      <c r="AC41" s="231"/>
      <c r="AD41" s="231"/>
      <c r="AE41" s="231"/>
      <c r="AF41" s="231"/>
      <c r="AG41" s="231"/>
      <c r="AH41" s="231"/>
      <c r="AI41" s="231"/>
      <c r="AJ41" s="176"/>
      <c r="AK41" s="176"/>
      <c r="AL41" s="176"/>
      <c r="AM41" s="176"/>
      <c r="AN41" s="176"/>
      <c r="AO41" s="176"/>
      <c r="AP41" s="176"/>
      <c r="AQ41" s="176"/>
      <c r="AR41" s="176"/>
      <c r="AS41" s="176"/>
    </row>
    <row r="42" spans="4:45">
      <c r="D42" s="33"/>
      <c r="E42" s="231"/>
      <c r="F42" s="231"/>
      <c r="G42" s="231"/>
      <c r="H42" s="231"/>
      <c r="I42" s="231"/>
      <c r="J42" s="231"/>
      <c r="K42" s="231"/>
      <c r="L42" s="231"/>
      <c r="M42" s="231"/>
      <c r="N42" s="231"/>
      <c r="O42" s="231"/>
      <c r="P42" s="231"/>
      <c r="Q42" s="231"/>
      <c r="R42" s="231"/>
      <c r="S42" s="231"/>
      <c r="T42" s="231"/>
      <c r="U42" s="231"/>
      <c r="V42" s="231"/>
      <c r="W42" s="231"/>
      <c r="X42" s="231"/>
      <c r="Y42" s="231"/>
      <c r="Z42" s="231"/>
      <c r="AA42" s="231"/>
      <c r="AB42" s="231"/>
      <c r="AC42" s="231"/>
      <c r="AD42" s="231"/>
      <c r="AE42" s="231"/>
      <c r="AF42" s="231"/>
      <c r="AG42" s="231"/>
      <c r="AH42" s="231"/>
      <c r="AI42" s="231"/>
      <c r="AJ42" s="176"/>
      <c r="AK42" s="176"/>
      <c r="AL42" s="176"/>
      <c r="AM42" s="176"/>
      <c r="AN42" s="176"/>
      <c r="AO42" s="176"/>
      <c r="AP42" s="176"/>
      <c r="AQ42" s="176"/>
      <c r="AR42" s="176"/>
      <c r="AS42" s="176"/>
    </row>
    <row r="43" spans="4:45">
      <c r="D43" s="258" t="s">
        <v>355</v>
      </c>
      <c r="E43" s="259"/>
      <c r="F43" s="259"/>
      <c r="G43" s="259"/>
      <c r="H43" s="259"/>
      <c r="I43" s="259"/>
      <c r="J43" s="259"/>
      <c r="K43" s="259"/>
      <c r="L43" s="259"/>
      <c r="M43" s="259"/>
      <c r="N43" s="259"/>
      <c r="O43" s="259"/>
      <c r="P43" s="259"/>
      <c r="Q43" s="259"/>
      <c r="R43" s="259"/>
      <c r="S43" s="259"/>
      <c r="T43" s="259"/>
      <c r="U43" s="259"/>
      <c r="V43" s="259"/>
      <c r="W43" s="259"/>
      <c r="X43" s="259"/>
      <c r="Y43" s="259"/>
      <c r="Z43" s="259"/>
      <c r="AA43" s="259"/>
      <c r="AB43" s="259"/>
      <c r="AC43" s="259"/>
      <c r="AD43" s="259"/>
      <c r="AE43" s="259"/>
      <c r="AF43" s="259"/>
      <c r="AG43" s="259"/>
      <c r="AH43" s="48" t="s">
        <v>404</v>
      </c>
      <c r="AI43" s="65"/>
      <c r="AJ43" s="176">
        <f>SUM(AJ35:AJ42)</f>
        <v>0</v>
      </c>
      <c r="AK43" s="176"/>
      <c r="AL43" s="176"/>
      <c r="AM43" s="176"/>
      <c r="AN43" s="176"/>
      <c r="AO43" s="176"/>
      <c r="AP43" s="176"/>
      <c r="AQ43" s="176"/>
      <c r="AR43" s="176"/>
      <c r="AS43" s="176"/>
    </row>
    <row r="44" spans="4:45">
      <c r="D44" s="36" t="s">
        <v>405</v>
      </c>
    </row>
    <row r="45" spans="4:45">
      <c r="AP45" s="131" t="s">
        <v>364</v>
      </c>
      <c r="AQ45" s="131"/>
      <c r="AR45" s="131"/>
    </row>
    <row r="46" spans="4:45">
      <c r="AP46" s="131"/>
      <c r="AQ46" s="131"/>
      <c r="AR46" s="131"/>
    </row>
  </sheetData>
  <mergeCells count="127">
    <mergeCell ref="AK7:AS7"/>
    <mergeCell ref="E16:T16"/>
    <mergeCell ref="AC16:AI16"/>
    <mergeCell ref="AJ16:AK16"/>
    <mergeCell ref="AL16:AS16"/>
    <mergeCell ref="E17:K17"/>
    <mergeCell ref="L17:T17"/>
    <mergeCell ref="AC17:AI17"/>
    <mergeCell ref="AJ17:AK17"/>
    <mergeCell ref="AL17:AS17"/>
    <mergeCell ref="E18:K18"/>
    <mergeCell ref="L18:T18"/>
    <mergeCell ref="U18:X18"/>
    <mergeCell ref="Y18:AB18"/>
    <mergeCell ref="AC18:AI18"/>
    <mergeCell ref="AJ18:AK18"/>
    <mergeCell ref="AL18:AS18"/>
    <mergeCell ref="E19:K19"/>
    <mergeCell ref="L19:T19"/>
    <mergeCell ref="U19:X19"/>
    <mergeCell ref="Y19:AB19"/>
    <mergeCell ref="AC19:AI19"/>
    <mergeCell ref="AJ19:AK19"/>
    <mergeCell ref="AL19:AS19"/>
    <mergeCell ref="E20:K20"/>
    <mergeCell ref="L20:T20"/>
    <mergeCell ref="U20:X20"/>
    <mergeCell ref="Y20:AB20"/>
    <mergeCell ref="AC20:AI20"/>
    <mergeCell ref="AJ20:AK20"/>
    <mergeCell ref="AL20:AS20"/>
    <mergeCell ref="E21:K21"/>
    <mergeCell ref="L21:T21"/>
    <mergeCell ref="U21:X21"/>
    <mergeCell ref="Y21:AB21"/>
    <mergeCell ref="AC21:AI21"/>
    <mergeCell ref="AJ21:AK21"/>
    <mergeCell ref="AL21:AS21"/>
    <mergeCell ref="E22:K22"/>
    <mergeCell ref="L22:T22"/>
    <mergeCell ref="U22:X22"/>
    <mergeCell ref="Y22:AB22"/>
    <mergeCell ref="AC22:AI22"/>
    <mergeCell ref="AJ22:AK22"/>
    <mergeCell ref="AL22:AS22"/>
    <mergeCell ref="E23:K23"/>
    <mergeCell ref="L23:T23"/>
    <mergeCell ref="U23:X23"/>
    <mergeCell ref="Y23:AB23"/>
    <mergeCell ref="AC23:AI23"/>
    <mergeCell ref="AJ23:AK23"/>
    <mergeCell ref="AL23:AS23"/>
    <mergeCell ref="E24:K24"/>
    <mergeCell ref="L24:T24"/>
    <mergeCell ref="U24:X24"/>
    <mergeCell ref="Y24:AB24"/>
    <mergeCell ref="AC24:AI24"/>
    <mergeCell ref="AJ24:AK24"/>
    <mergeCell ref="AL24:AS24"/>
    <mergeCell ref="E25:K25"/>
    <mergeCell ref="L25:T25"/>
    <mergeCell ref="U25:X25"/>
    <mergeCell ref="Y25:AB25"/>
    <mergeCell ref="AC25:AI25"/>
    <mergeCell ref="AJ25:AK25"/>
    <mergeCell ref="AL25:AS25"/>
    <mergeCell ref="E26:K26"/>
    <mergeCell ref="L26:T26"/>
    <mergeCell ref="U26:X26"/>
    <mergeCell ref="Y26:AB26"/>
    <mergeCell ref="AC26:AI26"/>
    <mergeCell ref="AJ26:AK26"/>
    <mergeCell ref="AL26:AS26"/>
    <mergeCell ref="D27:Z27"/>
    <mergeCell ref="AC27:AI27"/>
    <mergeCell ref="AJ27:AK27"/>
    <mergeCell ref="AL27:AS27"/>
    <mergeCell ref="E34:M34"/>
    <mergeCell ref="N34:W34"/>
    <mergeCell ref="X34:AI34"/>
    <mergeCell ref="AJ34:AS34"/>
    <mergeCell ref="E35:M35"/>
    <mergeCell ref="N35:W35"/>
    <mergeCell ref="X35:AI35"/>
    <mergeCell ref="AJ35:AS35"/>
    <mergeCell ref="E36:M36"/>
    <mergeCell ref="N36:W36"/>
    <mergeCell ref="X36:AI36"/>
    <mergeCell ref="AJ36:AS36"/>
    <mergeCell ref="X42:AI42"/>
    <mergeCell ref="AJ42:AS42"/>
    <mergeCell ref="E37:M37"/>
    <mergeCell ref="N37:W37"/>
    <mergeCell ref="X37:AI37"/>
    <mergeCell ref="AJ37:AS37"/>
    <mergeCell ref="E38:M38"/>
    <mergeCell ref="N38:W38"/>
    <mergeCell ref="X38:AI38"/>
    <mergeCell ref="AJ38:AS38"/>
    <mergeCell ref="E39:M39"/>
    <mergeCell ref="N39:W39"/>
    <mergeCell ref="X39:AI39"/>
    <mergeCell ref="AJ39:AS39"/>
    <mergeCell ref="AP45:AR46"/>
    <mergeCell ref="D43:AG43"/>
    <mergeCell ref="AJ43:AS43"/>
    <mergeCell ref="D16:D17"/>
    <mergeCell ref="D32:D33"/>
    <mergeCell ref="AK3:AS5"/>
    <mergeCell ref="N8:AI9"/>
    <mergeCell ref="U16:X17"/>
    <mergeCell ref="Y16:AB17"/>
    <mergeCell ref="AJ32:AS33"/>
    <mergeCell ref="X32:AI33"/>
    <mergeCell ref="N32:W33"/>
    <mergeCell ref="E32:M33"/>
    <mergeCell ref="D5:L12"/>
    <mergeCell ref="E40:M40"/>
    <mergeCell ref="N40:W40"/>
    <mergeCell ref="X40:AI40"/>
    <mergeCell ref="AJ40:AS40"/>
    <mergeCell ref="E41:M41"/>
    <mergeCell ref="N41:W41"/>
    <mergeCell ref="X41:AI41"/>
    <mergeCell ref="AJ41:AS41"/>
    <mergeCell ref="E42:M42"/>
    <mergeCell ref="N42:W42"/>
  </mergeCells>
  <hyperlinks>
    <hyperlink ref="AP45:AR46" location="INDUK1!A1" display="HOME" xr:uid="{00000000-0004-0000-0700-000000000000}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D3:AX50"/>
  <sheetViews>
    <sheetView topLeftCell="A3" workbookViewId="0"/>
  </sheetViews>
  <sheetFormatPr defaultColWidth="9.1796875" defaultRowHeight="11.5"/>
  <cols>
    <col min="1" max="2" width="9.1796875" style="1"/>
    <col min="3" max="81" width="3.453125" style="1" customWidth="1"/>
    <col min="82" max="16384" width="9.1796875" style="1"/>
  </cols>
  <sheetData>
    <row r="3" spans="4:50" ht="15.5">
      <c r="D3" s="3"/>
      <c r="E3" s="4"/>
      <c r="F3" s="4"/>
      <c r="G3" s="4"/>
      <c r="H3" s="4"/>
      <c r="I3" s="4"/>
      <c r="J3" s="4"/>
      <c r="K3" s="4"/>
      <c r="L3" s="17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92" t="s">
        <v>406</v>
      </c>
      <c r="AQ3" s="192"/>
      <c r="AR3" s="192"/>
      <c r="AS3" s="192"/>
      <c r="AT3" s="192"/>
      <c r="AU3" s="192"/>
      <c r="AV3" s="192"/>
      <c r="AW3" s="192"/>
      <c r="AX3" s="193"/>
    </row>
    <row r="4" spans="4:50" ht="18">
      <c r="D4" s="5" t="s">
        <v>184</v>
      </c>
      <c r="E4" s="6"/>
      <c r="F4" s="6"/>
      <c r="G4" s="6"/>
      <c r="H4" s="6"/>
      <c r="I4" s="6"/>
      <c r="J4" s="6"/>
      <c r="K4" s="6"/>
      <c r="L4" s="19"/>
      <c r="M4" s="20"/>
      <c r="N4" s="20"/>
      <c r="O4" s="21" t="s">
        <v>1</v>
      </c>
      <c r="P4" s="20"/>
      <c r="Q4" s="20"/>
      <c r="R4" s="20"/>
      <c r="S4" s="20"/>
      <c r="T4" s="20"/>
      <c r="U4" s="20"/>
      <c r="V4" s="20"/>
      <c r="W4" s="20"/>
      <c r="X4" s="20"/>
      <c r="Y4" s="20"/>
      <c r="Z4" s="29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194"/>
      <c r="AQ4" s="194"/>
      <c r="AR4" s="194"/>
      <c r="AS4" s="194"/>
      <c r="AT4" s="194"/>
      <c r="AU4" s="194"/>
      <c r="AV4" s="194"/>
      <c r="AW4" s="194"/>
      <c r="AX4" s="195"/>
    </row>
    <row r="5" spans="4:50" ht="14">
      <c r="D5" s="227" t="s">
        <v>407</v>
      </c>
      <c r="E5" s="228"/>
      <c r="F5" s="228"/>
      <c r="G5" s="228"/>
      <c r="H5" s="228"/>
      <c r="I5" s="228"/>
      <c r="J5" s="228"/>
      <c r="K5" s="228"/>
      <c r="L5" s="228"/>
      <c r="M5" s="20"/>
      <c r="N5" s="20"/>
      <c r="O5" s="22" t="s">
        <v>185</v>
      </c>
      <c r="P5" s="20"/>
      <c r="Q5" s="20"/>
      <c r="R5" s="20"/>
      <c r="S5" s="20"/>
      <c r="T5" s="20"/>
      <c r="U5" s="20"/>
      <c r="V5" s="20"/>
      <c r="W5" s="20"/>
      <c r="X5" s="20"/>
      <c r="Y5" s="20"/>
      <c r="Z5" s="29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194"/>
      <c r="AQ5" s="194"/>
      <c r="AR5" s="194"/>
      <c r="AS5" s="194"/>
      <c r="AT5" s="194"/>
      <c r="AU5" s="194"/>
      <c r="AV5" s="194"/>
      <c r="AW5" s="194"/>
      <c r="AX5" s="195"/>
    </row>
    <row r="6" spans="4:50" ht="3" customHeight="1">
      <c r="D6" s="227"/>
      <c r="E6" s="228"/>
      <c r="F6" s="228"/>
      <c r="G6" s="228"/>
      <c r="H6" s="228"/>
      <c r="I6" s="228"/>
      <c r="J6" s="228"/>
      <c r="K6" s="228"/>
      <c r="L6" s="228"/>
      <c r="M6" s="20"/>
      <c r="N6" s="20"/>
      <c r="O6" s="23"/>
      <c r="P6" s="20"/>
      <c r="Q6" s="20"/>
      <c r="R6" s="20"/>
      <c r="S6" s="20"/>
      <c r="T6" s="20"/>
      <c r="U6" s="20"/>
      <c r="V6" s="20"/>
      <c r="W6" s="20"/>
      <c r="X6" s="20"/>
      <c r="Y6" s="20"/>
      <c r="Z6" s="29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30"/>
      <c r="AS6" s="30"/>
      <c r="AT6" s="30"/>
      <c r="AU6" s="30"/>
      <c r="AV6" s="30"/>
      <c r="AW6" s="30"/>
      <c r="AX6" s="31"/>
    </row>
    <row r="7" spans="4:50">
      <c r="D7" s="227"/>
      <c r="E7" s="228"/>
      <c r="F7" s="228"/>
      <c r="G7" s="228"/>
      <c r="H7" s="228"/>
      <c r="I7" s="228"/>
      <c r="J7" s="228"/>
      <c r="K7" s="228"/>
      <c r="L7" s="228"/>
      <c r="M7" s="20"/>
      <c r="N7" s="20"/>
      <c r="O7" s="23" t="s">
        <v>8</v>
      </c>
      <c r="P7" s="20"/>
      <c r="Q7" s="20"/>
      <c r="R7" s="20"/>
      <c r="S7" s="20"/>
      <c r="T7" s="20"/>
      <c r="U7" s="20"/>
      <c r="V7" s="20"/>
      <c r="W7" s="20"/>
      <c r="X7" s="20"/>
      <c r="Y7" s="20"/>
      <c r="Z7" s="29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186" t="s">
        <v>188</v>
      </c>
      <c r="AQ7" s="186"/>
      <c r="AR7" s="186"/>
      <c r="AS7" s="186"/>
      <c r="AT7" s="186"/>
      <c r="AU7" s="186"/>
      <c r="AV7" s="186"/>
      <c r="AW7" s="186"/>
      <c r="AX7" s="187"/>
    </row>
    <row r="8" spans="4:50" ht="14">
      <c r="D8" s="227"/>
      <c r="E8" s="228"/>
      <c r="F8" s="228"/>
      <c r="G8" s="228"/>
      <c r="H8" s="228"/>
      <c r="I8" s="228"/>
      <c r="J8" s="228"/>
      <c r="K8" s="228"/>
      <c r="L8" s="228"/>
      <c r="M8" s="20"/>
      <c r="N8" s="20"/>
      <c r="O8" s="22" t="s">
        <v>408</v>
      </c>
      <c r="P8" s="23"/>
      <c r="Q8" s="20"/>
      <c r="R8" s="20"/>
      <c r="S8" s="20"/>
      <c r="T8" s="20"/>
      <c r="U8" s="20"/>
      <c r="V8" s="20"/>
      <c r="W8" s="20"/>
      <c r="X8" s="20"/>
      <c r="Y8" s="20"/>
      <c r="Z8" s="29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8">
        <f>INDUK1!E14</f>
        <v>2</v>
      </c>
      <c r="AS8" s="28">
        <f>INDUK1!G14</f>
        <v>0</v>
      </c>
      <c r="AT8" s="28">
        <f>INDUK1!I14</f>
        <v>2</v>
      </c>
      <c r="AU8" s="28">
        <f>INDUK1!K14</f>
        <v>5</v>
      </c>
      <c r="AV8" s="30"/>
      <c r="AW8" s="30"/>
      <c r="AX8" s="31"/>
    </row>
    <row r="9" spans="4:50" ht="3" customHeight="1">
      <c r="D9" s="227"/>
      <c r="E9" s="228"/>
      <c r="F9" s="228"/>
      <c r="G9" s="228"/>
      <c r="H9" s="228"/>
      <c r="I9" s="228"/>
      <c r="J9" s="228"/>
      <c r="K9" s="228"/>
      <c r="L9" s="228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9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30"/>
      <c r="AS9" s="30"/>
      <c r="AT9" s="30"/>
      <c r="AU9" s="30"/>
      <c r="AV9" s="30"/>
      <c r="AW9" s="30"/>
      <c r="AX9" s="31"/>
    </row>
    <row r="10" spans="4:50" ht="14">
      <c r="D10" s="227"/>
      <c r="E10" s="228"/>
      <c r="F10" s="228"/>
      <c r="G10" s="228"/>
      <c r="H10" s="228"/>
      <c r="I10" s="228"/>
      <c r="J10" s="228"/>
      <c r="K10" s="228"/>
      <c r="L10" s="228"/>
      <c r="M10" s="20"/>
      <c r="N10" s="20"/>
      <c r="O10" s="25"/>
      <c r="P10" s="25" t="s">
        <v>28</v>
      </c>
      <c r="Q10" s="20"/>
      <c r="R10" s="20"/>
      <c r="S10" s="28">
        <f>INDUK1!AF21</f>
        <v>0</v>
      </c>
      <c r="T10" s="28">
        <f>INDUK1!AG21</f>
        <v>0</v>
      </c>
      <c r="U10" s="28">
        <f>INDUK1!AH21</f>
        <v>0</v>
      </c>
      <c r="V10" s="28">
        <f>INDUK1!AI21</f>
        <v>0</v>
      </c>
      <c r="W10" s="28">
        <f>INDUK1!AJ21</f>
        <v>0</v>
      </c>
      <c r="X10" s="28">
        <f>INDUK1!AK21</f>
        <v>0</v>
      </c>
      <c r="Y10" s="28">
        <f>INDUK1!AL21</f>
        <v>0</v>
      </c>
      <c r="Z10" s="28">
        <f>INDUK1!AM21</f>
        <v>0</v>
      </c>
      <c r="AA10" s="28">
        <f>INDUK1!AN21</f>
        <v>0</v>
      </c>
      <c r="AB10" s="28">
        <f>INDUK1!AO21</f>
        <v>0</v>
      </c>
      <c r="AC10" s="28">
        <f>INDUK1!AP21</f>
        <v>0</v>
      </c>
      <c r="AD10" s="28">
        <f>INDUK1!AQ21</f>
        <v>0</v>
      </c>
      <c r="AE10" s="28">
        <f>INDUK1!AR21</f>
        <v>0</v>
      </c>
      <c r="AF10" s="28">
        <f>INDUK1!AS21</f>
        <v>0</v>
      </c>
      <c r="AG10" s="28">
        <f>INDUK1!AT21</f>
        <v>0</v>
      </c>
      <c r="AH10" s="28">
        <f>INDUK1!AU21</f>
        <v>0</v>
      </c>
      <c r="AI10" s="20"/>
      <c r="AJ10" s="20"/>
      <c r="AK10" s="20"/>
      <c r="AL10" s="20"/>
      <c r="AM10" s="20"/>
      <c r="AN10" s="20"/>
      <c r="AO10" s="20"/>
      <c r="AP10" s="20"/>
      <c r="AQ10" s="20"/>
      <c r="AR10" s="30"/>
      <c r="AS10" s="30"/>
      <c r="AT10" s="30"/>
      <c r="AU10" s="30"/>
      <c r="AV10" s="30"/>
      <c r="AW10" s="30"/>
      <c r="AX10" s="31"/>
    </row>
    <row r="11" spans="4:50">
      <c r="D11" s="229"/>
      <c r="E11" s="230"/>
      <c r="F11" s="230"/>
      <c r="G11" s="230"/>
      <c r="H11" s="230"/>
      <c r="I11" s="230"/>
      <c r="J11" s="230"/>
      <c r="K11" s="230"/>
      <c r="L11" s="230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32"/>
    </row>
    <row r="12" spans="4:50" ht="3" customHeight="1"/>
    <row r="13" spans="4:50">
      <c r="D13" s="7" t="s">
        <v>25</v>
      </c>
      <c r="E13" s="8" t="s">
        <v>409</v>
      </c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</row>
    <row r="14" spans="4:50" ht="3" customHeight="1"/>
    <row r="15" spans="4:50">
      <c r="D15" s="132" t="s">
        <v>410</v>
      </c>
      <c r="E15" s="132"/>
      <c r="F15" s="132"/>
      <c r="G15" s="132"/>
      <c r="H15" s="132"/>
      <c r="I15" s="132"/>
      <c r="J15" s="132"/>
      <c r="K15" s="132"/>
      <c r="L15" s="132"/>
      <c r="M15" s="151" t="s">
        <v>411</v>
      </c>
      <c r="N15" s="151"/>
      <c r="O15" s="151"/>
      <c r="P15" s="151"/>
      <c r="Q15" s="151"/>
      <c r="R15" s="151"/>
      <c r="S15" s="151" t="s">
        <v>347</v>
      </c>
      <c r="T15" s="151"/>
      <c r="U15" s="151"/>
      <c r="V15" s="151"/>
      <c r="W15" s="151"/>
      <c r="X15" s="151"/>
      <c r="Y15" s="151"/>
      <c r="Z15" s="151" t="s">
        <v>412</v>
      </c>
      <c r="AA15" s="151"/>
      <c r="AB15" s="151"/>
      <c r="AC15" s="151"/>
      <c r="AD15" s="151"/>
      <c r="AE15" s="151"/>
      <c r="AF15" s="151"/>
      <c r="AG15" s="151" t="s">
        <v>413</v>
      </c>
      <c r="AH15" s="151"/>
      <c r="AI15" s="151"/>
      <c r="AJ15" s="151"/>
      <c r="AK15" s="151"/>
      <c r="AL15" s="151"/>
      <c r="AM15" s="151" t="s">
        <v>414</v>
      </c>
      <c r="AN15" s="151"/>
      <c r="AO15" s="151"/>
      <c r="AP15" s="151"/>
      <c r="AQ15" s="151"/>
      <c r="AR15" s="151"/>
      <c r="AS15" s="151" t="s">
        <v>415</v>
      </c>
      <c r="AT15" s="151"/>
      <c r="AU15" s="151"/>
      <c r="AV15" s="151"/>
      <c r="AW15" s="151"/>
      <c r="AX15" s="151"/>
    </row>
    <row r="16" spans="4:50">
      <c r="D16" s="132"/>
      <c r="E16" s="132"/>
      <c r="F16" s="132"/>
      <c r="G16" s="132"/>
      <c r="H16" s="132"/>
      <c r="I16" s="132"/>
      <c r="J16" s="132"/>
      <c r="K16" s="132"/>
      <c r="L16" s="132"/>
      <c r="M16" s="151"/>
      <c r="N16" s="151"/>
      <c r="O16" s="151"/>
      <c r="P16" s="151"/>
      <c r="Q16" s="151"/>
      <c r="R16" s="151"/>
      <c r="S16" s="151"/>
      <c r="T16" s="151"/>
      <c r="U16" s="151"/>
      <c r="V16" s="151"/>
      <c r="W16" s="151"/>
      <c r="X16" s="151"/>
      <c r="Y16" s="151"/>
      <c r="Z16" s="151"/>
      <c r="AA16" s="151"/>
      <c r="AB16" s="151"/>
      <c r="AC16" s="151"/>
      <c r="AD16" s="151"/>
      <c r="AE16" s="151"/>
      <c r="AF16" s="151"/>
      <c r="AG16" s="151"/>
      <c r="AH16" s="151"/>
      <c r="AI16" s="151"/>
      <c r="AJ16" s="151"/>
      <c r="AK16" s="151"/>
      <c r="AL16" s="151"/>
      <c r="AM16" s="151"/>
      <c r="AN16" s="151"/>
      <c r="AO16" s="151"/>
      <c r="AP16" s="151"/>
      <c r="AQ16" s="151"/>
      <c r="AR16" s="151"/>
      <c r="AS16" s="151"/>
      <c r="AT16" s="151"/>
      <c r="AU16" s="151"/>
      <c r="AV16" s="151"/>
      <c r="AW16" s="151"/>
      <c r="AX16" s="151"/>
    </row>
    <row r="17" spans="4:50">
      <c r="D17" s="162" t="s">
        <v>201</v>
      </c>
      <c r="E17" s="161"/>
      <c r="F17" s="161"/>
      <c r="G17" s="161"/>
      <c r="H17" s="161"/>
      <c r="I17" s="161"/>
      <c r="J17" s="161"/>
      <c r="K17" s="161"/>
      <c r="L17" s="161"/>
      <c r="M17" s="162" t="s">
        <v>202</v>
      </c>
      <c r="N17" s="161"/>
      <c r="O17" s="161"/>
      <c r="P17" s="161"/>
      <c r="Q17" s="161"/>
      <c r="R17" s="161"/>
      <c r="S17" s="162" t="s">
        <v>203</v>
      </c>
      <c r="T17" s="161"/>
      <c r="U17" s="161"/>
      <c r="V17" s="161"/>
      <c r="W17" s="161"/>
      <c r="X17" s="161"/>
      <c r="Y17" s="161"/>
      <c r="Z17" s="162" t="s">
        <v>204</v>
      </c>
      <c r="AA17" s="161"/>
      <c r="AB17" s="161"/>
      <c r="AC17" s="161"/>
      <c r="AD17" s="161"/>
      <c r="AE17" s="161"/>
      <c r="AF17" s="161"/>
      <c r="AG17" s="162" t="s">
        <v>205</v>
      </c>
      <c r="AH17" s="161"/>
      <c r="AI17" s="161"/>
      <c r="AJ17" s="161"/>
      <c r="AK17" s="161"/>
      <c r="AL17" s="161"/>
      <c r="AM17" s="162" t="s">
        <v>354</v>
      </c>
      <c r="AN17" s="161"/>
      <c r="AO17" s="161"/>
      <c r="AP17" s="161"/>
      <c r="AQ17" s="161"/>
      <c r="AR17" s="161"/>
      <c r="AS17" s="162" t="s">
        <v>207</v>
      </c>
      <c r="AT17" s="161"/>
      <c r="AU17" s="161"/>
      <c r="AV17" s="161"/>
      <c r="AW17" s="161"/>
      <c r="AX17" s="161"/>
    </row>
    <row r="18" spans="4:50">
      <c r="D18" s="231"/>
      <c r="E18" s="231"/>
      <c r="F18" s="231"/>
      <c r="G18" s="231"/>
      <c r="H18" s="231"/>
      <c r="I18" s="231"/>
      <c r="J18" s="231"/>
      <c r="K18" s="231"/>
      <c r="L18" s="231"/>
      <c r="M18" s="231"/>
      <c r="N18" s="231"/>
      <c r="O18" s="231"/>
      <c r="P18" s="231"/>
      <c r="Q18" s="231"/>
      <c r="R18" s="231"/>
      <c r="S18" s="231"/>
      <c r="T18" s="231"/>
      <c r="U18" s="231"/>
      <c r="V18" s="231"/>
      <c r="W18" s="231"/>
      <c r="X18" s="231"/>
      <c r="Y18" s="231"/>
      <c r="Z18" s="231"/>
      <c r="AA18" s="231"/>
      <c r="AB18" s="231"/>
      <c r="AC18" s="231"/>
      <c r="AD18" s="231"/>
      <c r="AE18" s="231"/>
      <c r="AF18" s="231"/>
      <c r="AG18" s="231"/>
      <c r="AH18" s="231"/>
      <c r="AI18" s="231"/>
      <c r="AJ18" s="231"/>
      <c r="AK18" s="231"/>
      <c r="AL18" s="231"/>
      <c r="AM18" s="231"/>
      <c r="AN18" s="231"/>
      <c r="AO18" s="231"/>
      <c r="AP18" s="231"/>
      <c r="AQ18" s="231"/>
      <c r="AR18" s="231"/>
      <c r="AS18" s="231"/>
      <c r="AT18" s="231"/>
      <c r="AU18" s="231"/>
      <c r="AV18" s="231"/>
      <c r="AW18" s="231"/>
      <c r="AX18" s="231"/>
    </row>
    <row r="19" spans="4:50">
      <c r="D19" s="231"/>
      <c r="E19" s="231"/>
      <c r="F19" s="231"/>
      <c r="G19" s="231"/>
      <c r="H19" s="231"/>
      <c r="I19" s="231"/>
      <c r="J19" s="231"/>
      <c r="K19" s="231"/>
      <c r="L19" s="231"/>
      <c r="M19" s="231"/>
      <c r="N19" s="231"/>
      <c r="O19" s="231"/>
      <c r="P19" s="231"/>
      <c r="Q19" s="231"/>
      <c r="R19" s="231"/>
      <c r="S19" s="231"/>
      <c r="T19" s="231"/>
      <c r="U19" s="231"/>
      <c r="V19" s="231"/>
      <c r="W19" s="231"/>
      <c r="X19" s="231"/>
      <c r="Y19" s="231"/>
      <c r="Z19" s="231"/>
      <c r="AA19" s="231"/>
      <c r="AB19" s="231"/>
      <c r="AC19" s="231"/>
      <c r="AD19" s="231"/>
      <c r="AE19" s="231"/>
      <c r="AF19" s="231"/>
      <c r="AG19" s="231"/>
      <c r="AH19" s="231"/>
      <c r="AI19" s="231"/>
      <c r="AJ19" s="231"/>
      <c r="AK19" s="231"/>
      <c r="AL19" s="231"/>
      <c r="AM19" s="231"/>
      <c r="AN19" s="231"/>
      <c r="AO19" s="231"/>
      <c r="AP19" s="231"/>
      <c r="AQ19" s="231"/>
      <c r="AR19" s="231"/>
      <c r="AS19" s="231"/>
      <c r="AT19" s="231"/>
      <c r="AU19" s="231"/>
      <c r="AV19" s="231"/>
      <c r="AW19" s="231"/>
      <c r="AX19" s="231"/>
    </row>
    <row r="20" spans="4:50">
      <c r="D20" s="231"/>
      <c r="E20" s="231"/>
      <c r="F20" s="231"/>
      <c r="G20" s="231"/>
      <c r="H20" s="231"/>
      <c r="I20" s="231"/>
      <c r="J20" s="231"/>
      <c r="K20" s="231"/>
      <c r="L20" s="231"/>
      <c r="M20" s="231"/>
      <c r="N20" s="231"/>
      <c r="O20" s="231"/>
      <c r="P20" s="231"/>
      <c r="Q20" s="231"/>
      <c r="R20" s="231"/>
      <c r="S20" s="231"/>
      <c r="T20" s="231"/>
      <c r="U20" s="231"/>
      <c r="V20" s="231"/>
      <c r="W20" s="231"/>
      <c r="X20" s="231"/>
      <c r="Y20" s="231"/>
      <c r="Z20" s="231"/>
      <c r="AA20" s="231"/>
      <c r="AB20" s="231"/>
      <c r="AC20" s="231"/>
      <c r="AD20" s="231"/>
      <c r="AE20" s="231"/>
      <c r="AF20" s="231"/>
      <c r="AG20" s="231"/>
      <c r="AH20" s="231"/>
      <c r="AI20" s="231"/>
      <c r="AJ20" s="231"/>
      <c r="AK20" s="231"/>
      <c r="AL20" s="231"/>
      <c r="AM20" s="231"/>
      <c r="AN20" s="231"/>
      <c r="AO20" s="231"/>
      <c r="AP20" s="231"/>
      <c r="AQ20" s="231"/>
      <c r="AR20" s="231"/>
      <c r="AS20" s="231"/>
      <c r="AT20" s="231"/>
      <c r="AU20" s="231"/>
      <c r="AV20" s="231"/>
      <c r="AW20" s="231"/>
      <c r="AX20" s="231"/>
    </row>
    <row r="22" spans="4:50">
      <c r="D22" s="7" t="s">
        <v>35</v>
      </c>
      <c r="E22" s="8" t="s">
        <v>416</v>
      </c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</row>
    <row r="23" spans="4:50" ht="3" customHeight="1"/>
    <row r="24" spans="4:50">
      <c r="D24" s="151" t="s">
        <v>411</v>
      </c>
      <c r="E24" s="151"/>
      <c r="F24" s="151"/>
      <c r="G24" s="151"/>
      <c r="H24" s="151"/>
      <c r="I24" s="151"/>
      <c r="J24" s="163" t="s">
        <v>417</v>
      </c>
      <c r="K24" s="151"/>
      <c r="L24" s="151"/>
      <c r="M24" s="151" t="s">
        <v>418</v>
      </c>
      <c r="N24" s="151"/>
      <c r="O24" s="151"/>
      <c r="P24" s="151" t="s">
        <v>419</v>
      </c>
      <c r="Q24" s="151"/>
      <c r="R24" s="151"/>
      <c r="S24" s="151" t="s">
        <v>420</v>
      </c>
      <c r="T24" s="151"/>
      <c r="U24" s="151"/>
      <c r="V24" s="151" t="s">
        <v>421</v>
      </c>
      <c r="W24" s="151"/>
      <c r="X24" s="151"/>
      <c r="Y24" s="151" t="s">
        <v>422</v>
      </c>
      <c r="Z24" s="151"/>
      <c r="AA24" s="151"/>
      <c r="AB24" s="151" t="s">
        <v>423</v>
      </c>
      <c r="AC24" s="151"/>
      <c r="AD24" s="151"/>
      <c r="AE24" s="151" t="s">
        <v>424</v>
      </c>
      <c r="AF24" s="151"/>
      <c r="AG24" s="151"/>
      <c r="AH24" s="151" t="s">
        <v>425</v>
      </c>
      <c r="AI24" s="151"/>
      <c r="AJ24" s="151"/>
      <c r="AK24" s="151" t="s">
        <v>426</v>
      </c>
      <c r="AL24" s="151"/>
      <c r="AM24" s="151"/>
      <c r="AN24" s="151" t="s">
        <v>427</v>
      </c>
      <c r="AO24" s="151"/>
      <c r="AP24" s="151"/>
      <c r="AQ24" s="151" t="s">
        <v>428</v>
      </c>
      <c r="AR24" s="151"/>
      <c r="AS24" s="151"/>
      <c r="AT24" s="151" t="s">
        <v>355</v>
      </c>
      <c r="AU24" s="151"/>
      <c r="AV24" s="151"/>
      <c r="AW24" s="151"/>
      <c r="AX24" s="151"/>
    </row>
    <row r="25" spans="4:50">
      <c r="D25" s="151"/>
      <c r="E25" s="151"/>
      <c r="F25" s="151"/>
      <c r="G25" s="151"/>
      <c r="H25" s="151"/>
      <c r="I25" s="151"/>
      <c r="J25" s="163"/>
      <c r="K25" s="151"/>
      <c r="L25" s="151"/>
      <c r="M25" s="151"/>
      <c r="N25" s="151"/>
      <c r="O25" s="151"/>
      <c r="P25" s="151"/>
      <c r="Q25" s="151"/>
      <c r="R25" s="151"/>
      <c r="S25" s="151"/>
      <c r="T25" s="151"/>
      <c r="U25" s="151"/>
      <c r="V25" s="151"/>
      <c r="W25" s="151"/>
      <c r="X25" s="151"/>
      <c r="Y25" s="151"/>
      <c r="Z25" s="151"/>
      <c r="AA25" s="151"/>
      <c r="AB25" s="151"/>
      <c r="AC25" s="151"/>
      <c r="AD25" s="151"/>
      <c r="AE25" s="151"/>
      <c r="AF25" s="151"/>
      <c r="AG25" s="151"/>
      <c r="AH25" s="151"/>
      <c r="AI25" s="151"/>
      <c r="AJ25" s="151"/>
      <c r="AK25" s="151"/>
      <c r="AL25" s="151"/>
      <c r="AM25" s="151"/>
      <c r="AN25" s="151"/>
      <c r="AO25" s="151"/>
      <c r="AP25" s="151"/>
      <c r="AQ25" s="151"/>
      <c r="AR25" s="151"/>
      <c r="AS25" s="151"/>
      <c r="AT25" s="151"/>
      <c r="AU25" s="151"/>
      <c r="AV25" s="151"/>
      <c r="AW25" s="151"/>
      <c r="AX25" s="151"/>
    </row>
    <row r="26" spans="4:50">
      <c r="D26" s="162" t="s">
        <v>201</v>
      </c>
      <c r="E26" s="161"/>
      <c r="F26" s="161"/>
      <c r="G26" s="161"/>
      <c r="H26" s="161"/>
      <c r="I26" s="161"/>
      <c r="J26" s="160" t="s">
        <v>202</v>
      </c>
      <c r="K26" s="161"/>
      <c r="L26" s="161"/>
      <c r="M26" s="162" t="s">
        <v>203</v>
      </c>
      <c r="N26" s="161"/>
      <c r="O26" s="161"/>
      <c r="P26" s="162" t="s">
        <v>204</v>
      </c>
      <c r="Q26" s="161"/>
      <c r="R26" s="161"/>
      <c r="S26" s="162" t="s">
        <v>205</v>
      </c>
      <c r="T26" s="161"/>
      <c r="U26" s="161"/>
      <c r="V26" s="162" t="s">
        <v>354</v>
      </c>
      <c r="W26" s="161"/>
      <c r="X26" s="161"/>
      <c r="Y26" s="162" t="s">
        <v>207</v>
      </c>
      <c r="Z26" s="161"/>
      <c r="AA26" s="161"/>
      <c r="AB26" s="162" t="s">
        <v>208</v>
      </c>
      <c r="AC26" s="161"/>
      <c r="AD26" s="161"/>
      <c r="AE26" s="162" t="s">
        <v>209</v>
      </c>
      <c r="AF26" s="161"/>
      <c r="AG26" s="161"/>
      <c r="AH26" s="162" t="s">
        <v>210</v>
      </c>
      <c r="AI26" s="161"/>
      <c r="AJ26" s="161"/>
      <c r="AK26" s="162" t="s">
        <v>361</v>
      </c>
      <c r="AL26" s="161"/>
      <c r="AM26" s="161"/>
      <c r="AN26" s="162" t="s">
        <v>362</v>
      </c>
      <c r="AO26" s="161"/>
      <c r="AP26" s="161"/>
      <c r="AQ26" s="162" t="s">
        <v>429</v>
      </c>
      <c r="AR26" s="161"/>
      <c r="AS26" s="161"/>
      <c r="AT26" s="162" t="s">
        <v>430</v>
      </c>
      <c r="AU26" s="161"/>
      <c r="AV26" s="161"/>
      <c r="AW26" s="161"/>
      <c r="AX26" s="161"/>
    </row>
    <row r="27" spans="4:50">
      <c r="D27" s="231"/>
      <c r="E27" s="231"/>
      <c r="F27" s="231"/>
      <c r="G27" s="231"/>
      <c r="H27" s="231"/>
      <c r="I27" s="231"/>
      <c r="J27" s="280">
        <v>1000000</v>
      </c>
      <c r="K27" s="178"/>
      <c r="L27" s="178"/>
      <c r="M27" s="280">
        <v>1000000</v>
      </c>
      <c r="N27" s="178"/>
      <c r="O27" s="178"/>
      <c r="P27" s="280">
        <v>1000000</v>
      </c>
      <c r="Q27" s="178"/>
      <c r="R27" s="178"/>
      <c r="S27" s="280">
        <v>1000000</v>
      </c>
      <c r="T27" s="178"/>
      <c r="U27" s="178"/>
      <c r="V27" s="280">
        <v>1000000</v>
      </c>
      <c r="W27" s="178"/>
      <c r="X27" s="178"/>
      <c r="Y27" s="280">
        <v>1000000</v>
      </c>
      <c r="Z27" s="178"/>
      <c r="AA27" s="178"/>
      <c r="AB27" s="280">
        <v>1000000</v>
      </c>
      <c r="AC27" s="178"/>
      <c r="AD27" s="178"/>
      <c r="AE27" s="280">
        <v>1000000</v>
      </c>
      <c r="AF27" s="178"/>
      <c r="AG27" s="178"/>
      <c r="AH27" s="280">
        <v>1000000</v>
      </c>
      <c r="AI27" s="178"/>
      <c r="AJ27" s="178"/>
      <c r="AK27" s="280">
        <v>1000000</v>
      </c>
      <c r="AL27" s="178"/>
      <c r="AM27" s="178"/>
      <c r="AN27" s="280">
        <v>1000000</v>
      </c>
      <c r="AO27" s="178"/>
      <c r="AP27" s="178"/>
      <c r="AQ27" s="280">
        <v>1000000</v>
      </c>
      <c r="AR27" s="178"/>
      <c r="AS27" s="178"/>
      <c r="AT27" s="178">
        <f t="shared" ref="AT27:AT33" si="0">SUM(J27:AQ27)</f>
        <v>12000000</v>
      </c>
      <c r="AU27" s="178"/>
      <c r="AV27" s="178"/>
      <c r="AW27" s="178"/>
      <c r="AX27" s="178"/>
    </row>
    <row r="28" spans="4:50">
      <c r="D28" s="231"/>
      <c r="E28" s="231"/>
      <c r="F28" s="231"/>
      <c r="G28" s="231"/>
      <c r="H28" s="231"/>
      <c r="I28" s="231"/>
      <c r="J28" s="279"/>
      <c r="K28" s="176"/>
      <c r="L28" s="176"/>
      <c r="M28" s="176"/>
      <c r="N28" s="176"/>
      <c r="O28" s="176"/>
      <c r="P28" s="176"/>
      <c r="Q28" s="176"/>
      <c r="R28" s="176"/>
      <c r="S28" s="176"/>
      <c r="T28" s="176"/>
      <c r="U28" s="176"/>
      <c r="V28" s="176"/>
      <c r="W28" s="176"/>
      <c r="X28" s="176"/>
      <c r="Y28" s="176"/>
      <c r="Z28" s="176"/>
      <c r="AA28" s="176"/>
      <c r="AB28" s="176"/>
      <c r="AC28" s="176"/>
      <c r="AD28" s="176"/>
      <c r="AE28" s="176"/>
      <c r="AF28" s="176"/>
      <c r="AG28" s="176"/>
      <c r="AH28" s="176"/>
      <c r="AI28" s="176"/>
      <c r="AJ28" s="176"/>
      <c r="AK28" s="176"/>
      <c r="AL28" s="176"/>
      <c r="AM28" s="176"/>
      <c r="AN28" s="176"/>
      <c r="AO28" s="176"/>
      <c r="AP28" s="176"/>
      <c r="AQ28" s="176"/>
      <c r="AR28" s="176"/>
      <c r="AS28" s="176"/>
      <c r="AT28" s="178">
        <f t="shared" si="0"/>
        <v>0</v>
      </c>
      <c r="AU28" s="178"/>
      <c r="AV28" s="178"/>
      <c r="AW28" s="178"/>
      <c r="AX28" s="178"/>
    </row>
    <row r="29" spans="4:50">
      <c r="D29" s="231"/>
      <c r="E29" s="231"/>
      <c r="F29" s="231"/>
      <c r="G29" s="231"/>
      <c r="H29" s="231"/>
      <c r="I29" s="231"/>
      <c r="J29" s="279"/>
      <c r="K29" s="176"/>
      <c r="L29" s="176"/>
      <c r="M29" s="176"/>
      <c r="N29" s="176"/>
      <c r="O29" s="176"/>
      <c r="P29" s="176"/>
      <c r="Q29" s="176"/>
      <c r="R29" s="176"/>
      <c r="S29" s="176"/>
      <c r="T29" s="176"/>
      <c r="U29" s="176"/>
      <c r="V29" s="176"/>
      <c r="W29" s="176"/>
      <c r="X29" s="176"/>
      <c r="Y29" s="176"/>
      <c r="Z29" s="176"/>
      <c r="AA29" s="176"/>
      <c r="AB29" s="176"/>
      <c r="AC29" s="176"/>
      <c r="AD29" s="176"/>
      <c r="AE29" s="176"/>
      <c r="AF29" s="176"/>
      <c r="AG29" s="176"/>
      <c r="AH29" s="176"/>
      <c r="AI29" s="176"/>
      <c r="AJ29" s="176"/>
      <c r="AK29" s="176"/>
      <c r="AL29" s="176"/>
      <c r="AM29" s="176"/>
      <c r="AN29" s="176"/>
      <c r="AO29" s="176"/>
      <c r="AP29" s="176"/>
      <c r="AQ29" s="176"/>
      <c r="AR29" s="176"/>
      <c r="AS29" s="176"/>
      <c r="AT29" s="178">
        <f t="shared" si="0"/>
        <v>0</v>
      </c>
      <c r="AU29" s="178"/>
      <c r="AV29" s="178"/>
      <c r="AW29" s="178"/>
      <c r="AX29" s="178"/>
    </row>
    <row r="30" spans="4:50">
      <c r="D30" s="231"/>
      <c r="E30" s="231"/>
      <c r="F30" s="231"/>
      <c r="G30" s="231"/>
      <c r="H30" s="231"/>
      <c r="I30" s="231"/>
      <c r="J30" s="279"/>
      <c r="K30" s="176"/>
      <c r="L30" s="176"/>
      <c r="M30" s="176"/>
      <c r="N30" s="176"/>
      <c r="O30" s="176"/>
      <c r="P30" s="176"/>
      <c r="Q30" s="176"/>
      <c r="R30" s="176"/>
      <c r="S30" s="176"/>
      <c r="T30" s="176"/>
      <c r="U30" s="176"/>
      <c r="V30" s="176"/>
      <c r="W30" s="176"/>
      <c r="X30" s="176"/>
      <c r="Y30" s="176"/>
      <c r="Z30" s="176"/>
      <c r="AA30" s="176"/>
      <c r="AB30" s="176"/>
      <c r="AC30" s="176"/>
      <c r="AD30" s="176"/>
      <c r="AE30" s="176"/>
      <c r="AF30" s="176"/>
      <c r="AG30" s="176"/>
      <c r="AH30" s="176"/>
      <c r="AI30" s="176"/>
      <c r="AJ30" s="176"/>
      <c r="AK30" s="176"/>
      <c r="AL30" s="176"/>
      <c r="AM30" s="176"/>
      <c r="AN30" s="176"/>
      <c r="AO30" s="176"/>
      <c r="AP30" s="176"/>
      <c r="AQ30" s="176"/>
      <c r="AR30" s="176"/>
      <c r="AS30" s="176"/>
      <c r="AT30" s="178">
        <f t="shared" si="0"/>
        <v>0</v>
      </c>
      <c r="AU30" s="178"/>
      <c r="AV30" s="178"/>
      <c r="AW30" s="178"/>
      <c r="AX30" s="178"/>
    </row>
    <row r="31" spans="4:50">
      <c r="D31" s="231"/>
      <c r="E31" s="231"/>
      <c r="F31" s="231"/>
      <c r="G31" s="231"/>
      <c r="H31" s="231"/>
      <c r="I31" s="231"/>
      <c r="J31" s="279"/>
      <c r="K31" s="176"/>
      <c r="L31" s="176"/>
      <c r="M31" s="176"/>
      <c r="N31" s="176"/>
      <c r="O31" s="176"/>
      <c r="P31" s="176"/>
      <c r="Q31" s="176"/>
      <c r="R31" s="176"/>
      <c r="S31" s="176"/>
      <c r="T31" s="176"/>
      <c r="U31" s="176"/>
      <c r="V31" s="176"/>
      <c r="W31" s="176"/>
      <c r="X31" s="176"/>
      <c r="Y31" s="176"/>
      <c r="Z31" s="176"/>
      <c r="AA31" s="176"/>
      <c r="AB31" s="176"/>
      <c r="AC31" s="176"/>
      <c r="AD31" s="176"/>
      <c r="AE31" s="176"/>
      <c r="AF31" s="176"/>
      <c r="AG31" s="176"/>
      <c r="AH31" s="176"/>
      <c r="AI31" s="176"/>
      <c r="AJ31" s="176"/>
      <c r="AK31" s="176"/>
      <c r="AL31" s="176"/>
      <c r="AM31" s="176"/>
      <c r="AN31" s="176"/>
      <c r="AO31" s="176"/>
      <c r="AP31" s="176"/>
      <c r="AQ31" s="176"/>
      <c r="AR31" s="176"/>
      <c r="AS31" s="176"/>
      <c r="AT31" s="178">
        <f t="shared" si="0"/>
        <v>0</v>
      </c>
      <c r="AU31" s="178"/>
      <c r="AV31" s="178"/>
      <c r="AW31" s="178"/>
      <c r="AX31" s="178"/>
    </row>
    <row r="32" spans="4:50">
      <c r="D32" s="231"/>
      <c r="E32" s="231"/>
      <c r="F32" s="231"/>
      <c r="G32" s="231"/>
      <c r="H32" s="231"/>
      <c r="I32" s="231"/>
      <c r="J32" s="279"/>
      <c r="K32" s="176"/>
      <c r="L32" s="176"/>
      <c r="M32" s="176"/>
      <c r="N32" s="176"/>
      <c r="O32" s="176"/>
      <c r="P32" s="176"/>
      <c r="Q32" s="176"/>
      <c r="R32" s="176"/>
      <c r="S32" s="176"/>
      <c r="T32" s="176"/>
      <c r="U32" s="176"/>
      <c r="V32" s="176"/>
      <c r="W32" s="176"/>
      <c r="X32" s="176"/>
      <c r="Y32" s="176"/>
      <c r="Z32" s="176"/>
      <c r="AA32" s="176"/>
      <c r="AB32" s="176"/>
      <c r="AC32" s="176"/>
      <c r="AD32" s="176"/>
      <c r="AE32" s="176"/>
      <c r="AF32" s="176"/>
      <c r="AG32" s="176"/>
      <c r="AH32" s="176"/>
      <c r="AI32" s="176"/>
      <c r="AJ32" s="176"/>
      <c r="AK32" s="176"/>
      <c r="AL32" s="176"/>
      <c r="AM32" s="176"/>
      <c r="AN32" s="176"/>
      <c r="AO32" s="176"/>
      <c r="AP32" s="176"/>
      <c r="AQ32" s="176"/>
      <c r="AR32" s="176"/>
      <c r="AS32" s="176"/>
      <c r="AT32" s="178">
        <f t="shared" si="0"/>
        <v>0</v>
      </c>
      <c r="AU32" s="178"/>
      <c r="AV32" s="178"/>
      <c r="AW32" s="178"/>
      <c r="AX32" s="178"/>
    </row>
    <row r="33" spans="4:50">
      <c r="D33" s="231"/>
      <c r="E33" s="231"/>
      <c r="F33" s="231"/>
      <c r="G33" s="231"/>
      <c r="H33" s="231"/>
      <c r="I33" s="231"/>
      <c r="J33" s="279"/>
      <c r="K33" s="176"/>
      <c r="L33" s="176"/>
      <c r="M33" s="176"/>
      <c r="N33" s="176"/>
      <c r="O33" s="176"/>
      <c r="P33" s="176"/>
      <c r="Q33" s="176"/>
      <c r="R33" s="176"/>
      <c r="S33" s="176"/>
      <c r="T33" s="176"/>
      <c r="U33" s="176"/>
      <c r="V33" s="176"/>
      <c r="W33" s="176"/>
      <c r="X33" s="176"/>
      <c r="Y33" s="176"/>
      <c r="Z33" s="176"/>
      <c r="AA33" s="176"/>
      <c r="AB33" s="176"/>
      <c r="AC33" s="176"/>
      <c r="AD33" s="176"/>
      <c r="AE33" s="176"/>
      <c r="AF33" s="176"/>
      <c r="AG33" s="176"/>
      <c r="AH33" s="176"/>
      <c r="AI33" s="176"/>
      <c r="AJ33" s="176"/>
      <c r="AK33" s="176"/>
      <c r="AL33" s="176"/>
      <c r="AM33" s="176"/>
      <c r="AN33" s="176"/>
      <c r="AO33" s="176"/>
      <c r="AP33" s="176"/>
      <c r="AQ33" s="176"/>
      <c r="AR33" s="176"/>
      <c r="AS33" s="176"/>
      <c r="AT33" s="178">
        <f t="shared" si="0"/>
        <v>0</v>
      </c>
      <c r="AU33" s="178"/>
      <c r="AV33" s="178"/>
      <c r="AW33" s="178"/>
      <c r="AX33" s="178"/>
    </row>
    <row r="34" spans="4:50">
      <c r="D34" s="270" t="s">
        <v>431</v>
      </c>
      <c r="E34" s="270"/>
      <c r="F34" s="270"/>
      <c r="G34" s="270"/>
      <c r="H34" s="270"/>
      <c r="I34" s="270"/>
      <c r="J34" s="265">
        <f>SUM(J27:J33)</f>
        <v>1000000</v>
      </c>
      <c r="K34" s="265"/>
      <c r="L34" s="265"/>
      <c r="M34" s="265">
        <f>SUM(M27:M33)</f>
        <v>1000000</v>
      </c>
      <c r="N34" s="265"/>
      <c r="O34" s="265"/>
      <c r="P34" s="265">
        <f>SUM(P27:P33)</f>
        <v>1000000</v>
      </c>
      <c r="Q34" s="265"/>
      <c r="R34" s="265"/>
      <c r="S34" s="265">
        <f>SUM(S27:S33)</f>
        <v>1000000</v>
      </c>
      <c r="T34" s="265"/>
      <c r="U34" s="265"/>
      <c r="V34" s="265">
        <f>SUM(V27:V33)</f>
        <v>1000000</v>
      </c>
      <c r="W34" s="265"/>
      <c r="X34" s="265"/>
      <c r="Y34" s="265">
        <f>SUM(Y27:Y33)</f>
        <v>1000000</v>
      </c>
      <c r="Z34" s="265"/>
      <c r="AA34" s="265"/>
      <c r="AB34" s="265">
        <f>SUM(AB27:AB33)</f>
        <v>1000000</v>
      </c>
      <c r="AC34" s="265"/>
      <c r="AD34" s="265"/>
      <c r="AE34" s="265">
        <f>SUM(AE27:AE33)</f>
        <v>1000000</v>
      </c>
      <c r="AF34" s="265"/>
      <c r="AG34" s="265"/>
      <c r="AH34" s="265">
        <f>SUM(AH27:AH33)</f>
        <v>1000000</v>
      </c>
      <c r="AI34" s="265"/>
      <c r="AJ34" s="265"/>
      <c r="AK34" s="265">
        <f>SUM(AK27:AK33)</f>
        <v>1000000</v>
      </c>
      <c r="AL34" s="265"/>
      <c r="AM34" s="265"/>
      <c r="AN34" s="265">
        <f>SUM(AN27:AN33)</f>
        <v>1000000</v>
      </c>
      <c r="AO34" s="265"/>
      <c r="AP34" s="265"/>
      <c r="AQ34" s="265">
        <f>SUM(AQ27:AQ33)</f>
        <v>1000000</v>
      </c>
      <c r="AR34" s="265"/>
      <c r="AS34" s="265"/>
      <c r="AT34" s="268" t="s">
        <v>432</v>
      </c>
      <c r="AU34" s="265">
        <f>SUM(AT27:AT33)</f>
        <v>12000000</v>
      </c>
      <c r="AV34" s="265"/>
      <c r="AW34" s="265"/>
      <c r="AX34" s="265"/>
    </row>
    <row r="35" spans="4:50">
      <c r="D35" s="271"/>
      <c r="E35" s="271"/>
      <c r="F35" s="271"/>
      <c r="G35" s="271"/>
      <c r="H35" s="271"/>
      <c r="I35" s="271"/>
      <c r="J35" s="264"/>
      <c r="K35" s="264"/>
      <c r="L35" s="264"/>
      <c r="M35" s="264"/>
      <c r="N35" s="264"/>
      <c r="O35" s="264"/>
      <c r="P35" s="264"/>
      <c r="Q35" s="264"/>
      <c r="R35" s="264"/>
      <c r="S35" s="264"/>
      <c r="T35" s="264"/>
      <c r="U35" s="264"/>
      <c r="V35" s="264"/>
      <c r="W35" s="264"/>
      <c r="X35" s="264"/>
      <c r="Y35" s="264"/>
      <c r="Z35" s="264"/>
      <c r="AA35" s="264"/>
      <c r="AB35" s="264"/>
      <c r="AC35" s="264"/>
      <c r="AD35" s="264"/>
      <c r="AE35" s="264"/>
      <c r="AF35" s="264"/>
      <c r="AG35" s="264"/>
      <c r="AH35" s="264"/>
      <c r="AI35" s="264"/>
      <c r="AJ35" s="264"/>
      <c r="AK35" s="264"/>
      <c r="AL35" s="264"/>
      <c r="AM35" s="264"/>
      <c r="AN35" s="264"/>
      <c r="AO35" s="264"/>
      <c r="AP35" s="264"/>
      <c r="AQ35" s="264"/>
      <c r="AR35" s="264"/>
      <c r="AS35" s="264"/>
      <c r="AT35" s="269"/>
      <c r="AU35" s="264"/>
      <c r="AV35" s="264"/>
      <c r="AW35" s="264"/>
      <c r="AX35" s="264"/>
    </row>
    <row r="36" spans="4:50">
      <c r="D36" s="266" t="s">
        <v>433</v>
      </c>
      <c r="E36" s="266"/>
      <c r="F36" s="266"/>
      <c r="G36" s="266"/>
      <c r="H36" s="266"/>
      <c r="I36" s="266"/>
      <c r="J36" s="264">
        <f>J34</f>
        <v>1000000</v>
      </c>
      <c r="K36" s="264"/>
      <c r="L36" s="264"/>
      <c r="M36" s="264">
        <f>M34</f>
        <v>1000000</v>
      </c>
      <c r="N36" s="264"/>
      <c r="O36" s="264"/>
      <c r="P36" s="264">
        <f>P34</f>
        <v>1000000</v>
      </c>
      <c r="Q36" s="264"/>
      <c r="R36" s="264"/>
      <c r="S36" s="264">
        <f>S34</f>
        <v>1000000</v>
      </c>
      <c r="T36" s="264"/>
      <c r="U36" s="264"/>
      <c r="V36" s="264">
        <f>V34</f>
        <v>1000000</v>
      </c>
      <c r="W36" s="264"/>
      <c r="X36" s="264"/>
      <c r="Y36" s="264">
        <f>Y34</f>
        <v>1000000</v>
      </c>
      <c r="Z36" s="264"/>
      <c r="AA36" s="264"/>
      <c r="AB36" s="264">
        <f>AB34</f>
        <v>1000000</v>
      </c>
      <c r="AC36" s="264"/>
      <c r="AD36" s="264"/>
      <c r="AE36" s="264">
        <f>AE34</f>
        <v>1000000</v>
      </c>
      <c r="AF36" s="264"/>
      <c r="AG36" s="264"/>
      <c r="AH36" s="264">
        <f>AH34</f>
        <v>1000000</v>
      </c>
      <c r="AI36" s="264"/>
      <c r="AJ36" s="264"/>
      <c r="AK36" s="264">
        <f>AK34</f>
        <v>1000000</v>
      </c>
      <c r="AL36" s="264"/>
      <c r="AM36" s="264"/>
      <c r="AN36" s="264">
        <f>AN34</f>
        <v>1000000</v>
      </c>
      <c r="AO36" s="264"/>
      <c r="AP36" s="264"/>
      <c r="AQ36" s="264">
        <f>AQ34</f>
        <v>1000000</v>
      </c>
      <c r="AR36" s="264"/>
      <c r="AS36" s="264"/>
      <c r="AT36" s="264">
        <f>SUM(J36:AQ36)</f>
        <v>12000000</v>
      </c>
      <c r="AU36" s="264"/>
      <c r="AV36" s="264"/>
      <c r="AW36" s="264"/>
      <c r="AX36" s="264"/>
    </row>
    <row r="37" spans="4:50">
      <c r="D37" s="266"/>
      <c r="E37" s="266"/>
      <c r="F37" s="266"/>
      <c r="G37" s="266"/>
      <c r="H37" s="266"/>
      <c r="I37" s="266"/>
      <c r="J37" s="264"/>
      <c r="K37" s="264"/>
      <c r="L37" s="264"/>
      <c r="M37" s="264"/>
      <c r="N37" s="264"/>
      <c r="O37" s="264"/>
      <c r="P37" s="264"/>
      <c r="Q37" s="264"/>
      <c r="R37" s="264"/>
      <c r="S37" s="264"/>
      <c r="T37" s="264"/>
      <c r="U37" s="264"/>
      <c r="V37" s="264"/>
      <c r="W37" s="264"/>
      <c r="X37" s="264"/>
      <c r="Y37" s="264"/>
      <c r="Z37" s="264"/>
      <c r="AA37" s="264"/>
      <c r="AB37" s="264"/>
      <c r="AC37" s="264"/>
      <c r="AD37" s="264"/>
      <c r="AE37" s="264"/>
      <c r="AF37" s="264"/>
      <c r="AG37" s="264"/>
      <c r="AH37" s="264"/>
      <c r="AI37" s="264"/>
      <c r="AJ37" s="264"/>
      <c r="AK37" s="264"/>
      <c r="AL37" s="264"/>
      <c r="AM37" s="264"/>
      <c r="AN37" s="264"/>
      <c r="AO37" s="264"/>
      <c r="AP37" s="264"/>
      <c r="AQ37" s="264"/>
      <c r="AR37" s="264"/>
      <c r="AS37" s="264"/>
      <c r="AT37" s="264"/>
      <c r="AU37" s="264"/>
      <c r="AV37" s="264"/>
      <c r="AW37" s="264"/>
      <c r="AX37" s="264"/>
    </row>
    <row r="38" spans="4:50">
      <c r="D38" s="267" t="s">
        <v>434</v>
      </c>
      <c r="E38" s="267"/>
      <c r="F38" s="267"/>
      <c r="G38" s="267"/>
      <c r="H38" s="267"/>
      <c r="I38" s="267"/>
      <c r="J38" s="264">
        <f>J36*0.5/100</f>
        <v>5000</v>
      </c>
      <c r="K38" s="264"/>
      <c r="L38" s="264"/>
      <c r="M38" s="264">
        <f>M36*0.5/100</f>
        <v>5000</v>
      </c>
      <c r="N38" s="264"/>
      <c r="O38" s="264"/>
      <c r="P38" s="264">
        <f>P36*0.5/100</f>
        <v>5000</v>
      </c>
      <c r="Q38" s="264"/>
      <c r="R38" s="264"/>
      <c r="S38" s="264">
        <f>S36*0.5/100</f>
        <v>5000</v>
      </c>
      <c r="T38" s="264"/>
      <c r="U38" s="264"/>
      <c r="V38" s="264">
        <f>V36*0.5/100</f>
        <v>5000</v>
      </c>
      <c r="W38" s="264"/>
      <c r="X38" s="264"/>
      <c r="Y38" s="264">
        <f>Y36*0.5/100</f>
        <v>5000</v>
      </c>
      <c r="Z38" s="264"/>
      <c r="AA38" s="264"/>
      <c r="AB38" s="264">
        <f>AB36*0.5/100</f>
        <v>5000</v>
      </c>
      <c r="AC38" s="264"/>
      <c r="AD38" s="264"/>
      <c r="AE38" s="264">
        <f>AE36*0.5/100</f>
        <v>5000</v>
      </c>
      <c r="AF38" s="264"/>
      <c r="AG38" s="264"/>
      <c r="AH38" s="264">
        <f>AH36*0.5/100</f>
        <v>5000</v>
      </c>
      <c r="AI38" s="264"/>
      <c r="AJ38" s="264"/>
      <c r="AK38" s="264">
        <f>AK36*0.5/100</f>
        <v>5000</v>
      </c>
      <c r="AL38" s="264"/>
      <c r="AM38" s="264"/>
      <c r="AN38" s="264">
        <f>AN36*0.5/100</f>
        <v>5000</v>
      </c>
      <c r="AO38" s="264"/>
      <c r="AP38" s="264"/>
      <c r="AQ38" s="264">
        <f>AQ36*0.5/100</f>
        <v>5000</v>
      </c>
      <c r="AR38" s="264"/>
      <c r="AS38" s="264"/>
      <c r="AT38" s="264">
        <f>SUM(J38:AQ38)</f>
        <v>60000</v>
      </c>
      <c r="AU38" s="264"/>
      <c r="AV38" s="264"/>
      <c r="AW38" s="264"/>
      <c r="AX38" s="264"/>
    </row>
    <row r="39" spans="4:50">
      <c r="D39" s="267"/>
      <c r="E39" s="267"/>
      <c r="F39" s="267"/>
      <c r="G39" s="267"/>
      <c r="H39" s="267"/>
      <c r="I39" s="267"/>
      <c r="J39" s="264"/>
      <c r="K39" s="264"/>
      <c r="L39" s="264"/>
      <c r="M39" s="264"/>
      <c r="N39" s="264"/>
      <c r="O39" s="264"/>
      <c r="P39" s="264"/>
      <c r="Q39" s="264"/>
      <c r="R39" s="264"/>
      <c r="S39" s="264"/>
      <c r="T39" s="264"/>
      <c r="U39" s="264"/>
      <c r="V39" s="264"/>
      <c r="W39" s="264"/>
      <c r="X39" s="264"/>
      <c r="Y39" s="264"/>
      <c r="Z39" s="264"/>
      <c r="AA39" s="264"/>
      <c r="AB39" s="264"/>
      <c r="AC39" s="264"/>
      <c r="AD39" s="264"/>
      <c r="AE39" s="264"/>
      <c r="AF39" s="264"/>
      <c r="AG39" s="264"/>
      <c r="AH39" s="264"/>
      <c r="AI39" s="264"/>
      <c r="AJ39" s="264"/>
      <c r="AK39" s="264"/>
      <c r="AL39" s="264"/>
      <c r="AM39" s="264"/>
      <c r="AN39" s="264"/>
      <c r="AO39" s="264"/>
      <c r="AP39" s="264"/>
      <c r="AQ39" s="264"/>
      <c r="AR39" s="264"/>
      <c r="AS39" s="264"/>
      <c r="AT39" s="264"/>
      <c r="AU39" s="264"/>
      <c r="AV39" s="264"/>
      <c r="AW39" s="264"/>
      <c r="AX39" s="264"/>
    </row>
    <row r="40" spans="4:50">
      <c r="D40" s="267"/>
      <c r="E40" s="267"/>
      <c r="F40" s="267"/>
      <c r="G40" s="267"/>
      <c r="H40" s="267"/>
      <c r="I40" s="267"/>
      <c r="J40" s="264"/>
      <c r="K40" s="264"/>
      <c r="L40" s="264"/>
      <c r="M40" s="264"/>
      <c r="N40" s="264"/>
      <c r="O40" s="264"/>
      <c r="P40" s="264"/>
      <c r="Q40" s="264"/>
      <c r="R40" s="264"/>
      <c r="S40" s="264"/>
      <c r="T40" s="264"/>
      <c r="U40" s="264"/>
      <c r="V40" s="264"/>
      <c r="W40" s="264"/>
      <c r="X40" s="264"/>
      <c r="Y40" s="264"/>
      <c r="Z40" s="264"/>
      <c r="AA40" s="264"/>
      <c r="AB40" s="264"/>
      <c r="AC40" s="264"/>
      <c r="AD40" s="264"/>
      <c r="AE40" s="264"/>
      <c r="AF40" s="264"/>
      <c r="AG40" s="264"/>
      <c r="AH40" s="264"/>
      <c r="AI40" s="264"/>
      <c r="AJ40" s="264"/>
      <c r="AK40" s="264"/>
      <c r="AL40" s="264"/>
      <c r="AM40" s="264"/>
      <c r="AN40" s="264"/>
      <c r="AO40" s="264"/>
      <c r="AP40" s="264"/>
      <c r="AQ40" s="264"/>
      <c r="AR40" s="264"/>
      <c r="AS40" s="264"/>
      <c r="AT40" s="264"/>
      <c r="AU40" s="264"/>
      <c r="AV40" s="264"/>
      <c r="AW40" s="264"/>
      <c r="AX40" s="264"/>
    </row>
    <row r="41" spans="4:50">
      <c r="D41" s="267" t="s">
        <v>435</v>
      </c>
      <c r="E41" s="267"/>
      <c r="F41" s="267"/>
      <c r="G41" s="267"/>
      <c r="H41" s="267"/>
      <c r="I41" s="267"/>
      <c r="J41" s="264">
        <v>0</v>
      </c>
      <c r="K41" s="264"/>
      <c r="L41" s="264"/>
      <c r="M41" s="264">
        <v>0</v>
      </c>
      <c r="N41" s="264"/>
      <c r="O41" s="264"/>
      <c r="P41" s="264">
        <v>0</v>
      </c>
      <c r="Q41" s="264"/>
      <c r="R41" s="264"/>
      <c r="S41" s="264">
        <v>0</v>
      </c>
      <c r="T41" s="264"/>
      <c r="U41" s="264"/>
      <c r="V41" s="264">
        <v>0</v>
      </c>
      <c r="W41" s="264"/>
      <c r="X41" s="264"/>
      <c r="Y41" s="264">
        <v>0</v>
      </c>
      <c r="Z41" s="264"/>
      <c r="AA41" s="264"/>
      <c r="AB41" s="264">
        <v>0</v>
      </c>
      <c r="AC41" s="264"/>
      <c r="AD41" s="264"/>
      <c r="AE41" s="264">
        <v>0</v>
      </c>
      <c r="AF41" s="264"/>
      <c r="AG41" s="264"/>
      <c r="AH41" s="264">
        <v>0</v>
      </c>
      <c r="AI41" s="264"/>
      <c r="AJ41" s="264"/>
      <c r="AK41" s="264">
        <v>0</v>
      </c>
      <c r="AL41" s="264"/>
      <c r="AM41" s="264"/>
      <c r="AN41" s="264">
        <v>0</v>
      </c>
      <c r="AO41" s="264"/>
      <c r="AP41" s="264"/>
      <c r="AQ41" s="264">
        <v>0</v>
      </c>
      <c r="AR41" s="264"/>
      <c r="AS41" s="264"/>
      <c r="AT41" s="264">
        <f>SUM(J41:AQ41)</f>
        <v>0</v>
      </c>
      <c r="AU41" s="264"/>
      <c r="AV41" s="264"/>
      <c r="AW41" s="264"/>
      <c r="AX41" s="264"/>
    </row>
    <row r="42" spans="4:50">
      <c r="D42" s="267"/>
      <c r="E42" s="267"/>
      <c r="F42" s="267"/>
      <c r="G42" s="267"/>
      <c r="H42" s="267"/>
      <c r="I42" s="267"/>
      <c r="J42" s="264"/>
      <c r="K42" s="264"/>
      <c r="L42" s="264"/>
      <c r="M42" s="264"/>
      <c r="N42" s="264"/>
      <c r="O42" s="264"/>
      <c r="P42" s="264"/>
      <c r="Q42" s="264"/>
      <c r="R42" s="264"/>
      <c r="S42" s="264"/>
      <c r="T42" s="264"/>
      <c r="U42" s="264"/>
      <c r="V42" s="264"/>
      <c r="W42" s="264"/>
      <c r="X42" s="264"/>
      <c r="Y42" s="264"/>
      <c r="Z42" s="264"/>
      <c r="AA42" s="264"/>
      <c r="AB42" s="264"/>
      <c r="AC42" s="264"/>
      <c r="AD42" s="264"/>
      <c r="AE42" s="264"/>
      <c r="AF42" s="264"/>
      <c r="AG42" s="264"/>
      <c r="AH42" s="264"/>
      <c r="AI42" s="264"/>
      <c r="AJ42" s="264"/>
      <c r="AK42" s="264"/>
      <c r="AL42" s="264"/>
      <c r="AM42" s="264"/>
      <c r="AN42" s="264"/>
      <c r="AO42" s="264"/>
      <c r="AP42" s="264"/>
      <c r="AQ42" s="264"/>
      <c r="AR42" s="264"/>
      <c r="AS42" s="264"/>
      <c r="AT42" s="264"/>
      <c r="AU42" s="264"/>
      <c r="AV42" s="264"/>
      <c r="AW42" s="264"/>
      <c r="AX42" s="264"/>
    </row>
    <row r="43" spans="4:50">
      <c r="D43" s="267"/>
      <c r="E43" s="267"/>
      <c r="F43" s="267"/>
      <c r="G43" s="267"/>
      <c r="H43" s="267"/>
      <c r="I43" s="267"/>
      <c r="J43" s="264"/>
      <c r="K43" s="264"/>
      <c r="L43" s="264"/>
      <c r="M43" s="264"/>
      <c r="N43" s="264"/>
      <c r="O43" s="264"/>
      <c r="P43" s="264"/>
      <c r="Q43" s="264"/>
      <c r="R43" s="264"/>
      <c r="S43" s="264"/>
      <c r="T43" s="264"/>
      <c r="U43" s="264"/>
      <c r="V43" s="264"/>
      <c r="W43" s="264"/>
      <c r="X43" s="264"/>
      <c r="Y43" s="264"/>
      <c r="Z43" s="264"/>
      <c r="AA43" s="264"/>
      <c r="AB43" s="264"/>
      <c r="AC43" s="264"/>
      <c r="AD43" s="264"/>
      <c r="AE43" s="264"/>
      <c r="AF43" s="264"/>
      <c r="AG43" s="264"/>
      <c r="AH43" s="264"/>
      <c r="AI43" s="264"/>
      <c r="AJ43" s="264"/>
      <c r="AK43" s="264"/>
      <c r="AL43" s="264"/>
      <c r="AM43" s="264"/>
      <c r="AN43" s="264"/>
      <c r="AO43" s="264"/>
      <c r="AP43" s="264"/>
      <c r="AQ43" s="264"/>
      <c r="AR43" s="264"/>
      <c r="AS43" s="264"/>
      <c r="AT43" s="264"/>
      <c r="AU43" s="264"/>
      <c r="AV43" s="264"/>
      <c r="AW43" s="264"/>
      <c r="AX43" s="264"/>
    </row>
    <row r="44" spans="4:50">
      <c r="D44" s="267"/>
      <c r="E44" s="267"/>
      <c r="F44" s="267"/>
      <c r="G44" s="267"/>
      <c r="H44" s="267"/>
      <c r="I44" s="267"/>
      <c r="J44" s="264"/>
      <c r="K44" s="264"/>
      <c r="L44" s="264"/>
      <c r="M44" s="264"/>
      <c r="N44" s="264"/>
      <c r="O44" s="264"/>
      <c r="P44" s="264"/>
      <c r="Q44" s="264"/>
      <c r="R44" s="264"/>
      <c r="S44" s="264"/>
      <c r="T44" s="264"/>
      <c r="U44" s="264"/>
      <c r="V44" s="264"/>
      <c r="W44" s="264"/>
      <c r="X44" s="264"/>
      <c r="Y44" s="264"/>
      <c r="Z44" s="264"/>
      <c r="AA44" s="264"/>
      <c r="AB44" s="264"/>
      <c r="AC44" s="264"/>
      <c r="AD44" s="264"/>
      <c r="AE44" s="264"/>
      <c r="AF44" s="264"/>
      <c r="AG44" s="264"/>
      <c r="AH44" s="264"/>
      <c r="AI44" s="264"/>
      <c r="AJ44" s="264"/>
      <c r="AK44" s="264"/>
      <c r="AL44" s="264"/>
      <c r="AM44" s="264"/>
      <c r="AN44" s="264"/>
      <c r="AO44" s="264"/>
      <c r="AP44" s="264"/>
      <c r="AQ44" s="264"/>
      <c r="AR44" s="264"/>
      <c r="AS44" s="264"/>
      <c r="AT44" s="264"/>
      <c r="AU44" s="264"/>
      <c r="AV44" s="264"/>
      <c r="AW44" s="264"/>
      <c r="AX44" s="264"/>
    </row>
    <row r="45" spans="4:50">
      <c r="D45" s="231" t="s">
        <v>436</v>
      </c>
      <c r="E45" s="231"/>
      <c r="F45" s="231"/>
      <c r="G45" s="231"/>
      <c r="H45" s="231"/>
      <c r="I45" s="231"/>
      <c r="J45" s="272">
        <f>J38-J41</f>
        <v>5000</v>
      </c>
      <c r="K45" s="272"/>
      <c r="L45" s="272"/>
      <c r="M45" s="272">
        <f>M38-M41</f>
        <v>5000</v>
      </c>
      <c r="N45" s="272"/>
      <c r="O45" s="272"/>
      <c r="P45" s="272">
        <f>P38-P41</f>
        <v>5000</v>
      </c>
      <c r="Q45" s="272"/>
      <c r="R45" s="272"/>
      <c r="S45" s="272">
        <f>S38-S41</f>
        <v>5000</v>
      </c>
      <c r="T45" s="272"/>
      <c r="U45" s="272"/>
      <c r="V45" s="272">
        <f>V38-V41</f>
        <v>5000</v>
      </c>
      <c r="W45" s="272"/>
      <c r="X45" s="272"/>
      <c r="Y45" s="272">
        <f>Y38-Y41</f>
        <v>5000</v>
      </c>
      <c r="Z45" s="272"/>
      <c r="AA45" s="272"/>
      <c r="AB45" s="272">
        <f>AB38-AB41</f>
        <v>5000</v>
      </c>
      <c r="AC45" s="272"/>
      <c r="AD45" s="272"/>
      <c r="AE45" s="272">
        <f>AE38-AE41</f>
        <v>5000</v>
      </c>
      <c r="AF45" s="272"/>
      <c r="AG45" s="272"/>
      <c r="AH45" s="272">
        <f>AH38-AH41</f>
        <v>5000</v>
      </c>
      <c r="AI45" s="272"/>
      <c r="AJ45" s="272"/>
      <c r="AK45" s="272">
        <f>AK38-AK41</f>
        <v>5000</v>
      </c>
      <c r="AL45" s="272"/>
      <c r="AM45" s="272"/>
      <c r="AN45" s="272">
        <f>AN38-AN41</f>
        <v>5000</v>
      </c>
      <c r="AO45" s="272"/>
      <c r="AP45" s="272"/>
      <c r="AQ45" s="272">
        <f>AQ38-AQ41</f>
        <v>5000</v>
      </c>
      <c r="AR45" s="272"/>
      <c r="AS45" s="272"/>
      <c r="AT45" s="64" t="s">
        <v>437</v>
      </c>
      <c r="AU45" s="264">
        <f>SUM(J45:AQ45)</f>
        <v>60000</v>
      </c>
      <c r="AV45" s="264"/>
      <c r="AW45" s="264"/>
      <c r="AX45" s="264"/>
    </row>
    <row r="46" spans="4:50">
      <c r="D46" s="273" t="s">
        <v>438</v>
      </c>
      <c r="E46" s="274"/>
      <c r="F46" s="274"/>
      <c r="G46" s="274"/>
      <c r="H46" s="274"/>
      <c r="I46" s="274"/>
      <c r="J46" s="274"/>
      <c r="K46" s="274"/>
      <c r="L46" s="274"/>
      <c r="M46" s="274"/>
      <c r="N46" s="274"/>
      <c r="O46" s="274"/>
      <c r="P46" s="274"/>
      <c r="Q46" s="274"/>
      <c r="R46" s="274"/>
      <c r="S46" s="274"/>
      <c r="T46" s="274"/>
      <c r="U46" s="274"/>
      <c r="V46" s="274"/>
      <c r="W46" s="274"/>
      <c r="X46" s="274"/>
      <c r="Y46" s="274"/>
      <c r="Z46" s="274"/>
      <c r="AA46" s="274"/>
      <c r="AB46" s="274"/>
      <c r="AC46" s="274"/>
      <c r="AD46" s="274"/>
      <c r="AE46" s="274"/>
      <c r="AF46" s="274"/>
      <c r="AG46" s="274"/>
      <c r="AH46" s="274"/>
      <c r="AI46" s="274"/>
      <c r="AJ46" s="274"/>
      <c r="AK46" s="274"/>
      <c r="AL46" s="274"/>
      <c r="AM46" s="274"/>
      <c r="AN46" s="274"/>
      <c r="AO46" s="274"/>
      <c r="AP46" s="274"/>
      <c r="AQ46" s="274"/>
      <c r="AR46" s="274"/>
      <c r="AS46" s="275"/>
      <c r="AT46" s="264"/>
      <c r="AU46" s="264"/>
      <c r="AV46" s="264"/>
      <c r="AW46" s="264"/>
      <c r="AX46" s="264"/>
    </row>
    <row r="47" spans="4:50" s="63" customFormat="1">
      <c r="D47" s="276" t="s">
        <v>439</v>
      </c>
      <c r="E47" s="277"/>
      <c r="F47" s="277"/>
      <c r="G47" s="277"/>
      <c r="H47" s="277"/>
      <c r="I47" s="277"/>
      <c r="J47" s="277"/>
      <c r="K47" s="277"/>
      <c r="L47" s="277"/>
      <c r="M47" s="277"/>
      <c r="N47" s="277"/>
      <c r="O47" s="277"/>
      <c r="P47" s="277"/>
      <c r="Q47" s="277"/>
      <c r="R47" s="277"/>
      <c r="S47" s="277"/>
      <c r="T47" s="277"/>
      <c r="U47" s="277"/>
      <c r="V47" s="277"/>
      <c r="W47" s="277"/>
      <c r="X47" s="277"/>
      <c r="Y47" s="277"/>
      <c r="Z47" s="277"/>
      <c r="AA47" s="277"/>
      <c r="AB47" s="277"/>
      <c r="AC47" s="277"/>
      <c r="AD47" s="277"/>
      <c r="AE47" s="277"/>
      <c r="AF47" s="277"/>
      <c r="AG47" s="277"/>
      <c r="AH47" s="277"/>
      <c r="AI47" s="277"/>
      <c r="AJ47" s="277"/>
      <c r="AK47" s="277"/>
      <c r="AL47" s="277"/>
      <c r="AM47" s="277"/>
      <c r="AN47" s="277"/>
      <c r="AO47" s="277"/>
      <c r="AP47" s="277"/>
      <c r="AQ47" s="277"/>
      <c r="AR47" s="277"/>
      <c r="AS47" s="278"/>
      <c r="AT47" s="64" t="s">
        <v>440</v>
      </c>
      <c r="AU47" s="264"/>
      <c r="AV47" s="264"/>
      <c r="AW47" s="264"/>
      <c r="AX47" s="264"/>
    </row>
    <row r="49" spans="48:50">
      <c r="AV49" s="131" t="s">
        <v>364</v>
      </c>
      <c r="AW49" s="131"/>
      <c r="AX49" s="131"/>
    </row>
    <row r="50" spans="48:50">
      <c r="AV50" s="131"/>
      <c r="AW50" s="131"/>
      <c r="AX50" s="131"/>
    </row>
  </sheetData>
  <mergeCells count="240">
    <mergeCell ref="AP7:AX7"/>
    <mergeCell ref="D17:L17"/>
    <mergeCell ref="M17:R17"/>
    <mergeCell ref="S17:Y17"/>
    <mergeCell ref="Z17:AF17"/>
    <mergeCell ref="AG17:AL17"/>
    <mergeCell ref="AM17:AR17"/>
    <mergeCell ref="AS17:AX17"/>
    <mergeCell ref="D18:L18"/>
    <mergeCell ref="M18:R18"/>
    <mergeCell ref="S18:Y18"/>
    <mergeCell ref="Z18:AF18"/>
    <mergeCell ref="AG18:AL18"/>
    <mergeCell ref="AM18:AR18"/>
    <mergeCell ref="AS18:AX18"/>
    <mergeCell ref="D19:L19"/>
    <mergeCell ref="M19:R19"/>
    <mergeCell ref="S19:Y19"/>
    <mergeCell ref="Z19:AF19"/>
    <mergeCell ref="AG19:AL19"/>
    <mergeCell ref="AM19:AR19"/>
    <mergeCell ref="AS19:AX19"/>
    <mergeCell ref="D20:L20"/>
    <mergeCell ref="M20:R20"/>
    <mergeCell ref="S20:Y20"/>
    <mergeCell ref="Z20:AF20"/>
    <mergeCell ref="AG20:AL20"/>
    <mergeCell ref="AM20:AR20"/>
    <mergeCell ref="AS20:AX20"/>
    <mergeCell ref="D26:I26"/>
    <mergeCell ref="J26:L26"/>
    <mergeCell ref="M26:O26"/>
    <mergeCell ref="P26:R26"/>
    <mergeCell ref="S26:U26"/>
    <mergeCell ref="V26:X26"/>
    <mergeCell ref="Y26:AA26"/>
    <mergeCell ref="AB26:AD26"/>
    <mergeCell ref="AE26:AG26"/>
    <mergeCell ref="D27:I27"/>
    <mergeCell ref="J27:L27"/>
    <mergeCell ref="M27:O27"/>
    <mergeCell ref="P27:R27"/>
    <mergeCell ref="S27:U27"/>
    <mergeCell ref="V27:X27"/>
    <mergeCell ref="Y27:AA27"/>
    <mergeCell ref="AB27:AD27"/>
    <mergeCell ref="AE27:AG27"/>
    <mergeCell ref="V28:X28"/>
    <mergeCell ref="Y28:AA28"/>
    <mergeCell ref="AB28:AD28"/>
    <mergeCell ref="AE28:AG28"/>
    <mergeCell ref="AH26:AJ26"/>
    <mergeCell ref="AK26:AM26"/>
    <mergeCell ref="AN26:AP26"/>
    <mergeCell ref="AQ26:AS26"/>
    <mergeCell ref="AT26:AX26"/>
    <mergeCell ref="AH27:AJ27"/>
    <mergeCell ref="AK27:AM27"/>
    <mergeCell ref="AN27:AP27"/>
    <mergeCell ref="AQ27:AS27"/>
    <mergeCell ref="AT27:AX27"/>
    <mergeCell ref="AH28:AJ28"/>
    <mergeCell ref="AK28:AM28"/>
    <mergeCell ref="AN28:AP28"/>
    <mergeCell ref="AQ28:AS28"/>
    <mergeCell ref="AT28:AX28"/>
    <mergeCell ref="D29:I29"/>
    <mergeCell ref="J29:L29"/>
    <mergeCell ref="M29:O29"/>
    <mergeCell ref="P29:R29"/>
    <mergeCell ref="S29:U29"/>
    <mergeCell ref="V29:X29"/>
    <mergeCell ref="Y29:AA29"/>
    <mergeCell ref="AB29:AD29"/>
    <mergeCell ref="AE29:AG29"/>
    <mergeCell ref="AH29:AJ29"/>
    <mergeCell ref="AK29:AM29"/>
    <mergeCell ref="AN29:AP29"/>
    <mergeCell ref="AQ29:AS29"/>
    <mergeCell ref="AT29:AX29"/>
    <mergeCell ref="D28:I28"/>
    <mergeCell ref="J28:L28"/>
    <mergeCell ref="M28:O28"/>
    <mergeCell ref="P28:R28"/>
    <mergeCell ref="S28:U28"/>
    <mergeCell ref="D30:I30"/>
    <mergeCell ref="J30:L30"/>
    <mergeCell ref="M30:O30"/>
    <mergeCell ref="P30:R30"/>
    <mergeCell ref="S30:U30"/>
    <mergeCell ref="V30:X30"/>
    <mergeCell ref="Y30:AA30"/>
    <mergeCell ref="AB30:AD30"/>
    <mergeCell ref="AE30:AG30"/>
    <mergeCell ref="D31:I31"/>
    <mergeCell ref="J31:L31"/>
    <mergeCell ref="M31:O31"/>
    <mergeCell ref="P31:R31"/>
    <mergeCell ref="S31:U31"/>
    <mergeCell ref="V31:X31"/>
    <mergeCell ref="Y31:AA31"/>
    <mergeCell ref="AB31:AD31"/>
    <mergeCell ref="AE31:AG31"/>
    <mergeCell ref="V32:X32"/>
    <mergeCell ref="Y32:AA32"/>
    <mergeCell ref="AB32:AD32"/>
    <mergeCell ref="AE32:AG32"/>
    <mergeCell ref="AH30:AJ30"/>
    <mergeCell ref="AK30:AM30"/>
    <mergeCell ref="AN30:AP30"/>
    <mergeCell ref="AQ30:AS30"/>
    <mergeCell ref="AT30:AX30"/>
    <mergeCell ref="AH31:AJ31"/>
    <mergeCell ref="AK31:AM31"/>
    <mergeCell ref="AN31:AP31"/>
    <mergeCell ref="AQ31:AS31"/>
    <mergeCell ref="AT31:AX31"/>
    <mergeCell ref="AH32:AJ32"/>
    <mergeCell ref="AK32:AM32"/>
    <mergeCell ref="AN32:AP32"/>
    <mergeCell ref="AQ32:AS32"/>
    <mergeCell ref="AT32:AX32"/>
    <mergeCell ref="D33:I33"/>
    <mergeCell ref="J33:L33"/>
    <mergeCell ref="M33:O33"/>
    <mergeCell ref="P33:R33"/>
    <mergeCell ref="S33:U33"/>
    <mergeCell ref="V33:X33"/>
    <mergeCell ref="Y33:AA33"/>
    <mergeCell ref="AB33:AD33"/>
    <mergeCell ref="AE33:AG33"/>
    <mergeCell ref="AH33:AJ33"/>
    <mergeCell ref="AK33:AM33"/>
    <mergeCell ref="AN33:AP33"/>
    <mergeCell ref="AQ33:AS33"/>
    <mergeCell ref="AT33:AX33"/>
    <mergeCell ref="D32:I32"/>
    <mergeCell ref="J32:L32"/>
    <mergeCell ref="M32:O32"/>
    <mergeCell ref="P32:R32"/>
    <mergeCell ref="S32:U32"/>
    <mergeCell ref="AH45:AJ45"/>
    <mergeCell ref="AK45:AM45"/>
    <mergeCell ref="AN45:AP45"/>
    <mergeCell ref="AQ45:AS45"/>
    <mergeCell ref="AU45:AX45"/>
    <mergeCell ref="D46:AS46"/>
    <mergeCell ref="AT46:AX46"/>
    <mergeCell ref="D47:AS47"/>
    <mergeCell ref="AU47:AX47"/>
    <mergeCell ref="D45:I45"/>
    <mergeCell ref="J45:L45"/>
    <mergeCell ref="M45:O45"/>
    <mergeCell ref="P45:R45"/>
    <mergeCell ref="S45:U45"/>
    <mergeCell ref="V45:X45"/>
    <mergeCell ref="Y45:AA45"/>
    <mergeCell ref="AB45:AD45"/>
    <mergeCell ref="AE45:AG45"/>
    <mergeCell ref="AT34:AT35"/>
    <mergeCell ref="AP3:AX5"/>
    <mergeCell ref="D15:L16"/>
    <mergeCell ref="M15:R16"/>
    <mergeCell ref="S15:Y16"/>
    <mergeCell ref="Z15:AF16"/>
    <mergeCell ref="AG15:AL16"/>
    <mergeCell ref="AM15:AR16"/>
    <mergeCell ref="AS15:AX16"/>
    <mergeCell ref="D24:I25"/>
    <mergeCell ref="J24:L25"/>
    <mergeCell ref="M24:O25"/>
    <mergeCell ref="P24:R25"/>
    <mergeCell ref="S24:U25"/>
    <mergeCell ref="V24:X25"/>
    <mergeCell ref="Y24:AA25"/>
    <mergeCell ref="AB24:AD25"/>
    <mergeCell ref="AE24:AG25"/>
    <mergeCell ref="AH24:AJ25"/>
    <mergeCell ref="AK24:AM25"/>
    <mergeCell ref="AN24:AP25"/>
    <mergeCell ref="AQ24:AS25"/>
    <mergeCell ref="AT24:AX25"/>
    <mergeCell ref="D34:I35"/>
    <mergeCell ref="D36:I37"/>
    <mergeCell ref="D38:I40"/>
    <mergeCell ref="D41:I44"/>
    <mergeCell ref="J34:L35"/>
    <mergeCell ref="M34:O35"/>
    <mergeCell ref="P34:R35"/>
    <mergeCell ref="S34:U35"/>
    <mergeCell ref="V34:X35"/>
    <mergeCell ref="Y34:AA35"/>
    <mergeCell ref="AN34:AP35"/>
    <mergeCell ref="AQ34:AS35"/>
    <mergeCell ref="J36:L37"/>
    <mergeCell ref="M36:O37"/>
    <mergeCell ref="P36:R37"/>
    <mergeCell ref="S36:U37"/>
    <mergeCell ref="V36:X37"/>
    <mergeCell ref="Y36:AA37"/>
    <mergeCell ref="AB36:AD37"/>
    <mergeCell ref="AE36:AG37"/>
    <mergeCell ref="AH36:AJ37"/>
    <mergeCell ref="AK36:AM37"/>
    <mergeCell ref="AN36:AP37"/>
    <mergeCell ref="AQ36:AS37"/>
    <mergeCell ref="V38:X40"/>
    <mergeCell ref="Y38:AA40"/>
    <mergeCell ref="AB38:AD40"/>
    <mergeCell ref="AE38:AG40"/>
    <mergeCell ref="AH38:AJ40"/>
    <mergeCell ref="AK38:AM40"/>
    <mergeCell ref="AB34:AD35"/>
    <mergeCell ref="AE34:AG35"/>
    <mergeCell ref="AH34:AJ35"/>
    <mergeCell ref="AK34:AM35"/>
    <mergeCell ref="AN38:AP40"/>
    <mergeCell ref="AQ38:AS40"/>
    <mergeCell ref="AT38:AX40"/>
    <mergeCell ref="AU34:AX35"/>
    <mergeCell ref="D5:L11"/>
    <mergeCell ref="AV49:AX50"/>
    <mergeCell ref="AT36:AX37"/>
    <mergeCell ref="J41:L44"/>
    <mergeCell ref="M41:O44"/>
    <mergeCell ref="P41:R44"/>
    <mergeCell ref="S41:U44"/>
    <mergeCell ref="V41:X44"/>
    <mergeCell ref="Y41:AA44"/>
    <mergeCell ref="AB41:AD44"/>
    <mergeCell ref="AE41:AG44"/>
    <mergeCell ref="AH41:AJ44"/>
    <mergeCell ref="AK41:AM44"/>
    <mergeCell ref="AN41:AP44"/>
    <mergeCell ref="AQ41:AS44"/>
    <mergeCell ref="AT41:AX44"/>
    <mergeCell ref="J38:L40"/>
    <mergeCell ref="M38:O40"/>
    <mergeCell ref="P38:R40"/>
    <mergeCell ref="S38:U40"/>
  </mergeCells>
  <hyperlinks>
    <hyperlink ref="AV49:AX50" location="INDUK2!A1" display="HOME" xr:uid="{00000000-0004-0000-0800-000000000000}"/>
  </hyperlinks>
  <pageMargins left="0.75" right="0.75" top="1" bottom="1" header="0.5" footer="0.5"/>
  <pageSetup paperSize="5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D3:AV40"/>
  <sheetViews>
    <sheetView topLeftCell="C1" workbookViewId="0">
      <selection activeCell="O8" sqref="O8"/>
    </sheetView>
  </sheetViews>
  <sheetFormatPr defaultColWidth="9.1796875" defaultRowHeight="11.5"/>
  <cols>
    <col min="1" max="2" width="9.1796875" style="1"/>
    <col min="3" max="79" width="3.453125" style="1" customWidth="1"/>
    <col min="80" max="16384" width="9.1796875" style="1"/>
  </cols>
  <sheetData>
    <row r="3" spans="4:48" ht="15.5">
      <c r="D3" s="3"/>
      <c r="E3" s="4"/>
      <c r="F3" s="4"/>
      <c r="G3" s="4"/>
      <c r="H3" s="4"/>
      <c r="I3" s="4"/>
      <c r="J3" s="4"/>
      <c r="K3" s="4"/>
      <c r="L3" s="17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92" t="s">
        <v>441</v>
      </c>
      <c r="AO3" s="192"/>
      <c r="AP3" s="192"/>
      <c r="AQ3" s="192"/>
      <c r="AR3" s="192"/>
      <c r="AS3" s="192"/>
      <c r="AT3" s="192"/>
      <c r="AU3" s="192"/>
      <c r="AV3" s="193"/>
    </row>
    <row r="4" spans="4:48" ht="18">
      <c r="D4" s="5" t="s">
        <v>184</v>
      </c>
      <c r="E4" s="6"/>
      <c r="F4" s="6"/>
      <c r="G4" s="6"/>
      <c r="H4" s="6"/>
      <c r="I4" s="6"/>
      <c r="J4" s="6"/>
      <c r="K4" s="6"/>
      <c r="L4" s="19"/>
      <c r="M4" s="20"/>
      <c r="N4" s="21" t="s">
        <v>1</v>
      </c>
      <c r="O4" s="20"/>
      <c r="P4" s="20"/>
      <c r="Q4" s="20"/>
      <c r="R4" s="20"/>
      <c r="S4" s="20"/>
      <c r="T4" s="20"/>
      <c r="U4" s="20"/>
      <c r="V4" s="20"/>
      <c r="W4" s="20"/>
      <c r="X4" s="20"/>
      <c r="Y4" s="29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194"/>
      <c r="AO4" s="194"/>
      <c r="AP4" s="194"/>
      <c r="AQ4" s="194"/>
      <c r="AR4" s="194"/>
      <c r="AS4" s="194"/>
      <c r="AT4" s="194"/>
      <c r="AU4" s="194"/>
      <c r="AV4" s="195"/>
    </row>
    <row r="5" spans="4:48" ht="14">
      <c r="D5" s="188" t="s">
        <v>442</v>
      </c>
      <c r="E5" s="189"/>
      <c r="F5" s="189"/>
      <c r="G5" s="189"/>
      <c r="H5" s="189"/>
      <c r="I5" s="189"/>
      <c r="J5" s="189"/>
      <c r="K5" s="189"/>
      <c r="L5" s="189"/>
      <c r="M5" s="20"/>
      <c r="N5" s="22" t="s">
        <v>185</v>
      </c>
      <c r="O5" s="20"/>
      <c r="P5" s="20"/>
      <c r="Q5" s="20"/>
      <c r="R5" s="20"/>
      <c r="S5" s="20"/>
      <c r="T5" s="20"/>
      <c r="U5" s="20"/>
      <c r="V5" s="20"/>
      <c r="W5" s="20"/>
      <c r="X5" s="20"/>
      <c r="Y5" s="29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194"/>
      <c r="AO5" s="194"/>
      <c r="AP5" s="194"/>
      <c r="AQ5" s="194"/>
      <c r="AR5" s="194"/>
      <c r="AS5" s="194"/>
      <c r="AT5" s="194"/>
      <c r="AU5" s="194"/>
      <c r="AV5" s="195"/>
    </row>
    <row r="6" spans="4:48" ht="3" customHeight="1">
      <c r="D6" s="188"/>
      <c r="E6" s="189"/>
      <c r="F6" s="189"/>
      <c r="G6" s="189"/>
      <c r="H6" s="189"/>
      <c r="I6" s="189"/>
      <c r="J6" s="189"/>
      <c r="K6" s="189"/>
      <c r="L6" s="189"/>
      <c r="M6" s="20"/>
      <c r="N6" s="23"/>
      <c r="O6" s="20"/>
      <c r="P6" s="20"/>
      <c r="Q6" s="20"/>
      <c r="R6" s="20"/>
      <c r="S6" s="20"/>
      <c r="T6" s="20"/>
      <c r="U6" s="20"/>
      <c r="V6" s="20"/>
      <c r="W6" s="20"/>
      <c r="X6" s="20"/>
      <c r="Y6" s="29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30"/>
      <c r="AQ6" s="30"/>
      <c r="AR6" s="30"/>
      <c r="AS6" s="30"/>
      <c r="AT6" s="30"/>
      <c r="AU6" s="30"/>
      <c r="AV6" s="31"/>
    </row>
    <row r="7" spans="4:48">
      <c r="D7" s="188"/>
      <c r="E7" s="189"/>
      <c r="F7" s="189"/>
      <c r="G7" s="189"/>
      <c r="H7" s="189"/>
      <c r="I7" s="189"/>
      <c r="J7" s="189"/>
      <c r="K7" s="189"/>
      <c r="L7" s="189"/>
      <c r="M7" s="20"/>
      <c r="N7" s="23" t="s">
        <v>8</v>
      </c>
      <c r="O7" s="20"/>
      <c r="P7" s="20"/>
      <c r="Q7" s="20"/>
      <c r="R7" s="20"/>
      <c r="S7" s="20"/>
      <c r="T7" s="20"/>
      <c r="U7" s="20"/>
      <c r="V7" s="20"/>
      <c r="W7" s="20"/>
      <c r="X7" s="20"/>
      <c r="Y7" s="29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186" t="s">
        <v>188</v>
      </c>
      <c r="AO7" s="186"/>
      <c r="AP7" s="186"/>
      <c r="AQ7" s="186"/>
      <c r="AR7" s="186"/>
      <c r="AS7" s="186"/>
      <c r="AT7" s="186"/>
      <c r="AU7" s="186"/>
      <c r="AV7" s="187"/>
    </row>
    <row r="8" spans="4:48" ht="14">
      <c r="D8" s="188"/>
      <c r="E8" s="189"/>
      <c r="F8" s="189"/>
      <c r="G8" s="189"/>
      <c r="H8" s="189"/>
      <c r="I8" s="189"/>
      <c r="J8" s="189"/>
      <c r="K8" s="189"/>
      <c r="L8" s="189"/>
      <c r="M8" s="20"/>
      <c r="N8" s="24"/>
      <c r="O8" s="22" t="s">
        <v>443</v>
      </c>
      <c r="P8" s="20"/>
      <c r="Q8" s="20"/>
      <c r="R8" s="20"/>
      <c r="S8" s="20"/>
      <c r="T8" s="20"/>
      <c r="U8" s="20"/>
      <c r="V8" s="20"/>
      <c r="W8" s="20"/>
      <c r="X8" s="20"/>
      <c r="Y8" s="29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8">
        <f>INDUK1!E14</f>
        <v>2</v>
      </c>
      <c r="AQ8" s="28">
        <f>INDUK1!G14</f>
        <v>0</v>
      </c>
      <c r="AR8" s="28">
        <f>INDUK1!I14</f>
        <v>2</v>
      </c>
      <c r="AS8" s="28">
        <f>INDUK1!K14</f>
        <v>5</v>
      </c>
      <c r="AT8" s="30"/>
      <c r="AU8" s="30"/>
      <c r="AV8" s="31"/>
    </row>
    <row r="9" spans="4:48" ht="3" customHeight="1">
      <c r="D9" s="188"/>
      <c r="E9" s="189"/>
      <c r="F9" s="189"/>
      <c r="G9" s="189"/>
      <c r="H9" s="189"/>
      <c r="I9" s="189"/>
      <c r="J9" s="189"/>
      <c r="K9" s="189"/>
      <c r="L9" s="189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9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30"/>
      <c r="AQ9" s="30"/>
      <c r="AR9" s="30"/>
      <c r="AS9" s="30"/>
      <c r="AT9" s="30"/>
      <c r="AU9" s="30"/>
      <c r="AV9" s="31"/>
    </row>
    <row r="10" spans="4:48" ht="14">
      <c r="D10" s="188"/>
      <c r="E10" s="189"/>
      <c r="F10" s="189"/>
      <c r="G10" s="189"/>
      <c r="H10" s="189"/>
      <c r="I10" s="189"/>
      <c r="J10" s="189"/>
      <c r="K10" s="189"/>
      <c r="L10" s="189"/>
      <c r="M10" s="20"/>
      <c r="N10" s="25"/>
      <c r="O10" s="25" t="s">
        <v>28</v>
      </c>
      <c r="P10" s="20"/>
      <c r="Q10" s="20"/>
      <c r="R10" s="28">
        <f>INDUK1!AF21</f>
        <v>0</v>
      </c>
      <c r="S10" s="28">
        <f>INDUK1!AG21</f>
        <v>0</v>
      </c>
      <c r="T10" s="28">
        <f>INDUK1!AH21</f>
        <v>0</v>
      </c>
      <c r="U10" s="28">
        <f>INDUK1!AI21</f>
        <v>0</v>
      </c>
      <c r="V10" s="28">
        <f>INDUK1!AJ21</f>
        <v>0</v>
      </c>
      <c r="W10" s="28">
        <f>INDUK1!AK21</f>
        <v>0</v>
      </c>
      <c r="X10" s="28">
        <f>INDUK1!AL21</f>
        <v>0</v>
      </c>
      <c r="Y10" s="28">
        <f>INDUK1!AM21</f>
        <v>0</v>
      </c>
      <c r="Z10" s="28">
        <f>INDUK1!AN21</f>
        <v>0</v>
      </c>
      <c r="AA10" s="28">
        <f>INDUK1!AO21</f>
        <v>0</v>
      </c>
      <c r="AB10" s="28">
        <f>INDUK1!AP21</f>
        <v>0</v>
      </c>
      <c r="AC10" s="28">
        <f>INDUK1!AQ21</f>
        <v>0</v>
      </c>
      <c r="AD10" s="28">
        <f>INDUK1!AR21</f>
        <v>0</v>
      </c>
      <c r="AE10" s="28">
        <f>INDUK1!AS21</f>
        <v>0</v>
      </c>
      <c r="AF10" s="28">
        <f>INDUK1!AT21</f>
        <v>0</v>
      </c>
      <c r="AG10" s="28">
        <f>INDUK1!AU21</f>
        <v>0</v>
      </c>
      <c r="AH10" s="20"/>
      <c r="AI10" s="20"/>
      <c r="AJ10" s="20"/>
      <c r="AK10" s="20"/>
      <c r="AL10" s="20"/>
      <c r="AM10" s="20"/>
      <c r="AN10" s="20"/>
      <c r="AO10" s="20"/>
      <c r="AP10" s="30"/>
      <c r="AQ10" s="30"/>
      <c r="AR10" s="30"/>
      <c r="AS10" s="30"/>
      <c r="AT10" s="30"/>
      <c r="AU10" s="30"/>
      <c r="AV10" s="31"/>
    </row>
    <row r="11" spans="4:48">
      <c r="D11" s="190"/>
      <c r="E11" s="191"/>
      <c r="F11" s="191"/>
      <c r="G11" s="191"/>
      <c r="H11" s="191"/>
      <c r="I11" s="191"/>
      <c r="J11" s="191"/>
      <c r="K11" s="191"/>
      <c r="L11" s="191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32"/>
    </row>
    <row r="12" spans="4:48" ht="3" customHeight="1"/>
    <row r="13" spans="4:48" ht="3" customHeight="1"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</row>
    <row r="14" spans="4:48"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73" t="s">
        <v>352</v>
      </c>
      <c r="AN14" s="173"/>
      <c r="AO14" s="173"/>
      <c r="AP14" s="173"/>
      <c r="AQ14" s="173"/>
      <c r="AR14" s="173"/>
      <c r="AS14" s="173"/>
      <c r="AT14" s="173"/>
      <c r="AU14" s="173"/>
      <c r="AV14" s="10"/>
    </row>
    <row r="15" spans="4:48" ht="3" customHeight="1"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</row>
    <row r="16" spans="4:48">
      <c r="D16" s="10"/>
      <c r="E16" s="281">
        <v>1</v>
      </c>
      <c r="F16" s="281"/>
      <c r="G16" s="288" t="s">
        <v>444</v>
      </c>
      <c r="H16" s="288"/>
      <c r="I16" s="288"/>
      <c r="J16" s="288"/>
      <c r="K16" s="288"/>
      <c r="L16" s="288"/>
      <c r="M16" s="288"/>
      <c r="N16" s="288"/>
      <c r="O16" s="288"/>
      <c r="P16" s="288"/>
      <c r="Q16" s="288"/>
      <c r="R16" s="288"/>
      <c r="S16" s="288"/>
      <c r="T16" s="288"/>
      <c r="U16" s="288"/>
      <c r="V16" s="288"/>
      <c r="W16" s="288"/>
      <c r="X16" s="288"/>
      <c r="Y16" s="288"/>
      <c r="Z16" s="288"/>
      <c r="AA16" s="288"/>
      <c r="AB16" s="288"/>
      <c r="AC16" s="288"/>
      <c r="AD16" s="288"/>
      <c r="AE16" s="288"/>
      <c r="AF16" s="288"/>
      <c r="AG16" s="288"/>
      <c r="AH16" s="288"/>
      <c r="AI16" s="288"/>
      <c r="AJ16" s="10"/>
      <c r="AK16" s="10"/>
      <c r="AL16" s="10"/>
      <c r="AM16" s="282"/>
      <c r="AN16" s="283"/>
      <c r="AO16" s="283"/>
      <c r="AP16" s="283"/>
      <c r="AQ16" s="283"/>
      <c r="AR16" s="283"/>
      <c r="AS16" s="283"/>
      <c r="AT16" s="283"/>
      <c r="AU16" s="284"/>
      <c r="AV16" s="10"/>
    </row>
    <row r="17" spans="4:48">
      <c r="D17" s="10"/>
      <c r="E17" s="281"/>
      <c r="F17" s="281"/>
      <c r="G17" s="288"/>
      <c r="H17" s="288"/>
      <c r="I17" s="288"/>
      <c r="J17" s="288"/>
      <c r="K17" s="288"/>
      <c r="L17" s="288"/>
      <c r="M17" s="288"/>
      <c r="N17" s="288"/>
      <c r="O17" s="288"/>
      <c r="P17" s="288"/>
      <c r="Q17" s="288"/>
      <c r="R17" s="288"/>
      <c r="S17" s="288"/>
      <c r="T17" s="288"/>
      <c r="U17" s="288"/>
      <c r="V17" s="288"/>
      <c r="W17" s="288"/>
      <c r="X17" s="288"/>
      <c r="Y17" s="288"/>
      <c r="Z17" s="288"/>
      <c r="AA17" s="288"/>
      <c r="AB17" s="288"/>
      <c r="AC17" s="288"/>
      <c r="AD17" s="288"/>
      <c r="AE17" s="288"/>
      <c r="AF17" s="288"/>
      <c r="AG17" s="288"/>
      <c r="AH17" s="288"/>
      <c r="AI17" s="288"/>
      <c r="AJ17" s="10"/>
      <c r="AK17" s="10"/>
      <c r="AL17" s="10"/>
      <c r="AM17" s="285"/>
      <c r="AN17" s="286"/>
      <c r="AO17" s="286"/>
      <c r="AP17" s="286"/>
      <c r="AQ17" s="286"/>
      <c r="AR17" s="286"/>
      <c r="AS17" s="286"/>
      <c r="AT17" s="286"/>
      <c r="AU17" s="287"/>
      <c r="AV17" s="10"/>
    </row>
    <row r="18" spans="4:48" ht="3" customHeight="1"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62"/>
      <c r="AN18" s="62"/>
      <c r="AO18" s="62"/>
      <c r="AP18" s="62"/>
      <c r="AQ18" s="62"/>
      <c r="AR18" s="62"/>
      <c r="AS18" s="62"/>
      <c r="AT18" s="62"/>
      <c r="AU18" s="62"/>
      <c r="AV18" s="10"/>
    </row>
    <row r="19" spans="4:48">
      <c r="D19" s="10"/>
      <c r="E19" s="281">
        <v>2</v>
      </c>
      <c r="F19" s="281"/>
      <c r="G19" s="289" t="s">
        <v>445</v>
      </c>
      <c r="H19" s="288"/>
      <c r="I19" s="288"/>
      <c r="J19" s="288"/>
      <c r="K19" s="288"/>
      <c r="L19" s="288"/>
      <c r="M19" s="288"/>
      <c r="N19" s="288"/>
      <c r="O19" s="288"/>
      <c r="P19" s="288"/>
      <c r="Q19" s="288"/>
      <c r="R19" s="288"/>
      <c r="S19" s="288"/>
      <c r="T19" s="288"/>
      <c r="U19" s="288"/>
      <c r="V19" s="288"/>
      <c r="W19" s="288"/>
      <c r="X19" s="288"/>
      <c r="Y19" s="288"/>
      <c r="Z19" s="288"/>
      <c r="AA19" s="288"/>
      <c r="AB19" s="288"/>
      <c r="AC19" s="288"/>
      <c r="AD19" s="288"/>
      <c r="AE19" s="288"/>
      <c r="AF19" s="288"/>
      <c r="AG19" s="288"/>
      <c r="AH19" s="288"/>
      <c r="AI19" s="288"/>
      <c r="AJ19" s="10"/>
      <c r="AK19" s="10"/>
      <c r="AL19" s="10"/>
      <c r="AM19" s="282"/>
      <c r="AN19" s="283"/>
      <c r="AO19" s="283"/>
      <c r="AP19" s="283"/>
      <c r="AQ19" s="283"/>
      <c r="AR19" s="283"/>
      <c r="AS19" s="283"/>
      <c r="AT19" s="283"/>
      <c r="AU19" s="284"/>
      <c r="AV19" s="10"/>
    </row>
    <row r="20" spans="4:48">
      <c r="D20" s="10"/>
      <c r="E20" s="281"/>
      <c r="F20" s="281"/>
      <c r="G20" s="288"/>
      <c r="H20" s="288"/>
      <c r="I20" s="288"/>
      <c r="J20" s="288"/>
      <c r="K20" s="288"/>
      <c r="L20" s="288"/>
      <c r="M20" s="288"/>
      <c r="N20" s="288"/>
      <c r="O20" s="288"/>
      <c r="P20" s="288"/>
      <c r="Q20" s="288"/>
      <c r="R20" s="288"/>
      <c r="S20" s="288"/>
      <c r="T20" s="288"/>
      <c r="U20" s="288"/>
      <c r="V20" s="288"/>
      <c r="W20" s="288"/>
      <c r="X20" s="288"/>
      <c r="Y20" s="288"/>
      <c r="Z20" s="288"/>
      <c r="AA20" s="288"/>
      <c r="AB20" s="288"/>
      <c r="AC20" s="288"/>
      <c r="AD20" s="288"/>
      <c r="AE20" s="288"/>
      <c r="AF20" s="288"/>
      <c r="AG20" s="288"/>
      <c r="AH20" s="288"/>
      <c r="AI20" s="288"/>
      <c r="AJ20" s="10"/>
      <c r="AK20" s="10"/>
      <c r="AL20" s="10"/>
      <c r="AM20" s="285"/>
      <c r="AN20" s="286"/>
      <c r="AO20" s="286"/>
      <c r="AP20" s="286"/>
      <c r="AQ20" s="286"/>
      <c r="AR20" s="286"/>
      <c r="AS20" s="286"/>
      <c r="AT20" s="286"/>
      <c r="AU20" s="287"/>
      <c r="AV20" s="10"/>
    </row>
    <row r="21" spans="4:48" ht="3" customHeight="1"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62"/>
      <c r="AN21" s="62"/>
      <c r="AO21" s="62"/>
      <c r="AP21" s="62"/>
      <c r="AQ21" s="62"/>
      <c r="AR21" s="62"/>
      <c r="AS21" s="62"/>
      <c r="AT21" s="62"/>
      <c r="AU21" s="62"/>
      <c r="AV21" s="10"/>
    </row>
    <row r="22" spans="4:48">
      <c r="D22" s="10"/>
      <c r="E22" s="281">
        <v>3</v>
      </c>
      <c r="F22" s="281"/>
      <c r="G22" s="288" t="s">
        <v>446</v>
      </c>
      <c r="H22" s="288"/>
      <c r="I22" s="288"/>
      <c r="J22" s="288"/>
      <c r="K22" s="288"/>
      <c r="L22" s="288"/>
      <c r="M22" s="288"/>
      <c r="N22" s="288"/>
      <c r="O22" s="288"/>
      <c r="P22" s="288"/>
      <c r="Q22" s="288"/>
      <c r="R22" s="288"/>
      <c r="S22" s="288"/>
      <c r="T22" s="288"/>
      <c r="U22" s="288"/>
      <c r="V22" s="288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59"/>
      <c r="AI22" s="59"/>
      <c r="AJ22" s="10"/>
      <c r="AK22" s="10"/>
      <c r="AL22" s="10"/>
      <c r="AM22" s="282">
        <f>AM16-AM19</f>
        <v>0</v>
      </c>
      <c r="AN22" s="283"/>
      <c r="AO22" s="283"/>
      <c r="AP22" s="283"/>
      <c r="AQ22" s="283"/>
      <c r="AR22" s="283"/>
      <c r="AS22" s="283"/>
      <c r="AT22" s="283"/>
      <c r="AU22" s="284"/>
      <c r="AV22" s="10"/>
    </row>
    <row r="23" spans="4:48">
      <c r="D23" s="10"/>
      <c r="E23" s="281"/>
      <c r="F23" s="281"/>
      <c r="G23" s="288"/>
      <c r="H23" s="288"/>
      <c r="I23" s="288"/>
      <c r="J23" s="288"/>
      <c r="K23" s="288"/>
      <c r="L23" s="288"/>
      <c r="M23" s="288"/>
      <c r="N23" s="288"/>
      <c r="O23" s="288"/>
      <c r="P23" s="288"/>
      <c r="Q23" s="288"/>
      <c r="R23" s="288"/>
      <c r="S23" s="288"/>
      <c r="T23" s="288"/>
      <c r="U23" s="288"/>
      <c r="V23" s="288"/>
      <c r="W23" s="59"/>
      <c r="X23" s="59"/>
      <c r="Y23" s="59"/>
      <c r="Z23" s="59"/>
      <c r="AA23" s="14" t="s">
        <v>67</v>
      </c>
      <c r="AB23" s="48">
        <v>1</v>
      </c>
      <c r="AC23" s="14" t="s">
        <v>68</v>
      </c>
      <c r="AD23" s="48">
        <v>2</v>
      </c>
      <c r="AE23" s="14" t="s">
        <v>69</v>
      </c>
      <c r="AF23" s="59"/>
      <c r="AG23" s="59"/>
      <c r="AH23" s="59"/>
      <c r="AI23" s="59"/>
      <c r="AJ23" s="10"/>
      <c r="AK23" s="10"/>
      <c r="AL23" s="10"/>
      <c r="AM23" s="285"/>
      <c r="AN23" s="286"/>
      <c r="AO23" s="286"/>
      <c r="AP23" s="286"/>
      <c r="AQ23" s="286"/>
      <c r="AR23" s="286"/>
      <c r="AS23" s="286"/>
      <c r="AT23" s="286"/>
      <c r="AU23" s="287"/>
      <c r="AV23" s="10"/>
    </row>
    <row r="24" spans="4:48" ht="3" customHeight="1"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62"/>
      <c r="AN24" s="62"/>
      <c r="AO24" s="62"/>
      <c r="AP24" s="62"/>
      <c r="AQ24" s="62"/>
      <c r="AR24" s="62"/>
      <c r="AS24" s="62"/>
      <c r="AT24" s="62"/>
      <c r="AU24" s="62"/>
      <c r="AV24" s="10"/>
    </row>
    <row r="25" spans="4:48">
      <c r="D25" s="10"/>
      <c r="E25" s="281">
        <v>4</v>
      </c>
      <c r="F25" s="281"/>
      <c r="G25" s="288" t="s">
        <v>447</v>
      </c>
      <c r="H25" s="288"/>
      <c r="I25" s="288"/>
      <c r="J25" s="288"/>
      <c r="K25" s="288"/>
      <c r="L25" s="288"/>
      <c r="M25" s="288"/>
      <c r="N25" s="288"/>
      <c r="O25" s="288"/>
      <c r="P25" s="288"/>
      <c r="Q25" s="288"/>
      <c r="R25" s="288"/>
      <c r="S25" s="288"/>
      <c r="T25" s="288"/>
      <c r="U25" s="288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59"/>
      <c r="AG25" s="59"/>
      <c r="AH25" s="59"/>
      <c r="AI25" s="59"/>
      <c r="AJ25" s="10"/>
      <c r="AK25" s="10"/>
      <c r="AL25" s="10"/>
      <c r="AM25" s="282"/>
      <c r="AN25" s="283"/>
      <c r="AO25" s="283"/>
      <c r="AP25" s="283"/>
      <c r="AQ25" s="283"/>
      <c r="AR25" s="283"/>
      <c r="AS25" s="283"/>
      <c r="AT25" s="283"/>
      <c r="AU25" s="284"/>
      <c r="AV25" s="10"/>
    </row>
    <row r="26" spans="4:48">
      <c r="D26" s="10"/>
      <c r="E26" s="281"/>
      <c r="F26" s="281"/>
      <c r="G26" s="288"/>
      <c r="H26" s="288"/>
      <c r="I26" s="288"/>
      <c r="J26" s="288"/>
      <c r="K26" s="288"/>
      <c r="L26" s="288"/>
      <c r="M26" s="288"/>
      <c r="N26" s="288"/>
      <c r="O26" s="288"/>
      <c r="P26" s="288"/>
      <c r="Q26" s="288"/>
      <c r="R26" s="288"/>
      <c r="S26" s="288"/>
      <c r="T26" s="288"/>
      <c r="U26" s="288"/>
      <c r="V26" s="59"/>
      <c r="W26" s="59"/>
      <c r="X26" s="59"/>
      <c r="Y26" s="59"/>
      <c r="Z26" s="59"/>
      <c r="AA26" s="14" t="s">
        <v>67</v>
      </c>
      <c r="AB26" s="59" t="s">
        <v>448</v>
      </c>
      <c r="AC26" s="59"/>
      <c r="AD26" s="59" t="s">
        <v>85</v>
      </c>
      <c r="AE26" s="48">
        <v>3</v>
      </c>
      <c r="AF26" s="14" t="s">
        <v>69</v>
      </c>
      <c r="AG26" s="59"/>
      <c r="AH26" s="59"/>
      <c r="AI26" s="59"/>
      <c r="AJ26" s="10"/>
      <c r="AK26" s="10"/>
      <c r="AL26" s="10"/>
      <c r="AM26" s="285"/>
      <c r="AN26" s="286"/>
      <c r="AO26" s="286"/>
      <c r="AP26" s="286"/>
      <c r="AQ26" s="286"/>
      <c r="AR26" s="286"/>
      <c r="AS26" s="286"/>
      <c r="AT26" s="286"/>
      <c r="AU26" s="287"/>
      <c r="AV26" s="10"/>
    </row>
    <row r="27" spans="4:48" ht="3" customHeight="1"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62"/>
      <c r="AN27" s="62"/>
      <c r="AO27" s="62"/>
      <c r="AP27" s="62"/>
      <c r="AQ27" s="62"/>
      <c r="AR27" s="62"/>
      <c r="AS27" s="62"/>
      <c r="AT27" s="62"/>
      <c r="AU27" s="62"/>
      <c r="AV27" s="10"/>
    </row>
    <row r="28" spans="4:48">
      <c r="D28" s="10"/>
      <c r="E28" s="281">
        <v>5</v>
      </c>
      <c r="F28" s="281"/>
      <c r="G28" s="289" t="s">
        <v>449</v>
      </c>
      <c r="H28" s="289"/>
      <c r="I28" s="289"/>
      <c r="J28" s="289"/>
      <c r="K28" s="289"/>
      <c r="L28" s="289"/>
      <c r="M28" s="289"/>
      <c r="N28" s="289"/>
      <c r="O28" s="289"/>
      <c r="P28" s="289"/>
      <c r="Q28" s="289"/>
      <c r="R28" s="289"/>
      <c r="S28" s="289"/>
      <c r="T28" s="289"/>
      <c r="U28" s="289"/>
      <c r="V28" s="289"/>
      <c r="W28" s="289"/>
      <c r="X28" s="289"/>
      <c r="Y28" s="289"/>
      <c r="Z28" s="289"/>
      <c r="AA28" s="289"/>
      <c r="AB28" s="289"/>
      <c r="AC28" s="289"/>
      <c r="AD28" s="289"/>
      <c r="AE28" s="289"/>
      <c r="AF28" s="289"/>
      <c r="AG28" s="289"/>
      <c r="AH28" s="289"/>
      <c r="AI28" s="289"/>
      <c r="AJ28" s="10"/>
      <c r="AK28" s="10"/>
      <c r="AL28" s="10"/>
      <c r="AM28" s="282"/>
      <c r="AN28" s="283"/>
      <c r="AO28" s="283"/>
      <c r="AP28" s="283"/>
      <c r="AQ28" s="283"/>
      <c r="AR28" s="283"/>
      <c r="AS28" s="283"/>
      <c r="AT28" s="283"/>
      <c r="AU28" s="284"/>
      <c r="AV28" s="10"/>
    </row>
    <row r="29" spans="4:48">
      <c r="D29" s="10"/>
      <c r="E29" s="281"/>
      <c r="F29" s="281"/>
      <c r="G29" s="289"/>
      <c r="H29" s="289"/>
      <c r="I29" s="289"/>
      <c r="J29" s="289"/>
      <c r="K29" s="289"/>
      <c r="L29" s="289"/>
      <c r="M29" s="289"/>
      <c r="N29" s="289"/>
      <c r="O29" s="289"/>
      <c r="P29" s="289"/>
      <c r="Q29" s="289"/>
      <c r="R29" s="289"/>
      <c r="S29" s="289"/>
      <c r="T29" s="289"/>
      <c r="U29" s="289"/>
      <c r="V29" s="289"/>
      <c r="W29" s="289"/>
      <c r="X29" s="289"/>
      <c r="Y29" s="289"/>
      <c r="Z29" s="289"/>
      <c r="AA29" s="289"/>
      <c r="AB29" s="289"/>
      <c r="AC29" s="289"/>
      <c r="AD29" s="289"/>
      <c r="AE29" s="289"/>
      <c r="AF29" s="289"/>
      <c r="AG29" s="289"/>
      <c r="AH29" s="289"/>
      <c r="AI29" s="289"/>
      <c r="AJ29" s="10"/>
      <c r="AK29" s="10"/>
      <c r="AL29" s="10"/>
      <c r="AM29" s="285"/>
      <c r="AN29" s="286"/>
      <c r="AO29" s="286"/>
      <c r="AP29" s="286"/>
      <c r="AQ29" s="286"/>
      <c r="AR29" s="286"/>
      <c r="AS29" s="286"/>
      <c r="AT29" s="286"/>
      <c r="AU29" s="287"/>
      <c r="AV29" s="10"/>
    </row>
    <row r="30" spans="4:48" ht="3" customHeight="1"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62"/>
      <c r="AN30" s="62"/>
      <c r="AO30" s="62"/>
      <c r="AP30" s="62"/>
      <c r="AQ30" s="62"/>
      <c r="AR30" s="62"/>
      <c r="AS30" s="62"/>
      <c r="AT30" s="62"/>
      <c r="AU30" s="62"/>
      <c r="AV30" s="10"/>
    </row>
    <row r="31" spans="4:48">
      <c r="D31" s="10"/>
      <c r="E31" s="281">
        <v>6</v>
      </c>
      <c r="F31" s="281"/>
      <c r="G31" s="289" t="s">
        <v>450</v>
      </c>
      <c r="H31" s="289"/>
      <c r="I31" s="289"/>
      <c r="J31" s="289"/>
      <c r="K31" s="289"/>
      <c r="L31" s="289"/>
      <c r="M31" s="289"/>
      <c r="N31" s="289"/>
      <c r="O31" s="289"/>
      <c r="P31" s="289"/>
      <c r="Q31" s="289"/>
      <c r="R31" s="289"/>
      <c r="S31" s="289"/>
      <c r="T31" s="289"/>
      <c r="U31" s="289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10"/>
      <c r="AK31" s="10"/>
      <c r="AL31" s="10"/>
      <c r="AM31" s="282">
        <f>AM25-AM28</f>
        <v>0</v>
      </c>
      <c r="AN31" s="283"/>
      <c r="AO31" s="283"/>
      <c r="AP31" s="283"/>
      <c r="AQ31" s="283"/>
      <c r="AR31" s="283"/>
      <c r="AS31" s="283"/>
      <c r="AT31" s="283"/>
      <c r="AU31" s="284"/>
      <c r="AV31" s="10"/>
    </row>
    <row r="32" spans="4:48">
      <c r="D32" s="10"/>
      <c r="E32" s="281"/>
      <c r="F32" s="281"/>
      <c r="G32" s="289"/>
      <c r="H32" s="289"/>
      <c r="I32" s="289"/>
      <c r="J32" s="289"/>
      <c r="K32" s="289"/>
      <c r="L32" s="289"/>
      <c r="M32" s="289"/>
      <c r="N32" s="289"/>
      <c r="O32" s="289"/>
      <c r="P32" s="289"/>
      <c r="Q32" s="289"/>
      <c r="R32" s="289"/>
      <c r="S32" s="289"/>
      <c r="T32" s="289"/>
      <c r="U32" s="289"/>
      <c r="V32" s="60"/>
      <c r="W32" s="60"/>
      <c r="X32" s="60"/>
      <c r="Y32" s="60"/>
      <c r="Z32" s="60"/>
      <c r="AA32" s="14" t="s">
        <v>67</v>
      </c>
      <c r="AB32" s="48">
        <v>4</v>
      </c>
      <c r="AC32" s="14" t="s">
        <v>68</v>
      </c>
      <c r="AD32" s="48">
        <v>5</v>
      </c>
      <c r="AE32" s="14" t="s">
        <v>69</v>
      </c>
      <c r="AF32" s="60"/>
      <c r="AG32" s="60"/>
      <c r="AH32" s="60"/>
      <c r="AI32" s="60"/>
      <c r="AJ32" s="10"/>
      <c r="AK32" s="10"/>
      <c r="AL32" s="10"/>
      <c r="AM32" s="285"/>
      <c r="AN32" s="286"/>
      <c r="AO32" s="286"/>
      <c r="AP32" s="286"/>
      <c r="AQ32" s="286"/>
      <c r="AR32" s="286"/>
      <c r="AS32" s="286"/>
      <c r="AT32" s="286"/>
      <c r="AU32" s="287"/>
      <c r="AV32" s="10"/>
    </row>
    <row r="33" spans="4:48" ht="3" customHeight="1"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62"/>
      <c r="AN33" s="62"/>
      <c r="AO33" s="62"/>
      <c r="AP33" s="62"/>
      <c r="AQ33" s="62"/>
      <c r="AR33" s="62"/>
      <c r="AS33" s="62"/>
      <c r="AT33" s="62"/>
      <c r="AU33" s="62"/>
      <c r="AV33" s="10"/>
    </row>
    <row r="34" spans="4:48">
      <c r="D34" s="10"/>
      <c r="E34" s="281">
        <v>7</v>
      </c>
      <c r="F34" s="281"/>
      <c r="G34" s="289" t="s">
        <v>451</v>
      </c>
      <c r="H34" s="289"/>
      <c r="I34" s="289"/>
      <c r="J34" s="289"/>
      <c r="K34" s="289"/>
      <c r="L34" s="289"/>
      <c r="M34" s="289"/>
      <c r="N34" s="289"/>
      <c r="O34" s="289"/>
      <c r="P34" s="289"/>
      <c r="Q34" s="289"/>
      <c r="R34" s="289"/>
      <c r="S34" s="289"/>
      <c r="T34" s="289"/>
      <c r="U34" s="289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10"/>
      <c r="AK34" s="10"/>
      <c r="AL34" s="10"/>
      <c r="AM34" s="282">
        <f>(1/AC35*AM31)</f>
        <v>0</v>
      </c>
      <c r="AN34" s="283"/>
      <c r="AO34" s="283"/>
      <c r="AP34" s="283"/>
      <c r="AQ34" s="283"/>
      <c r="AR34" s="283"/>
      <c r="AS34" s="283"/>
      <c r="AT34" s="283"/>
      <c r="AU34" s="284"/>
      <c r="AV34" s="10"/>
    </row>
    <row r="35" spans="4:48">
      <c r="D35" s="10"/>
      <c r="E35" s="281"/>
      <c r="F35" s="281"/>
      <c r="G35" s="289"/>
      <c r="H35" s="289"/>
      <c r="I35" s="289"/>
      <c r="J35" s="289"/>
      <c r="K35" s="289"/>
      <c r="L35" s="289"/>
      <c r="M35" s="289"/>
      <c r="N35" s="289"/>
      <c r="O35" s="289"/>
      <c r="P35" s="289"/>
      <c r="Q35" s="289"/>
      <c r="R35" s="289"/>
      <c r="S35" s="289"/>
      <c r="T35" s="289"/>
      <c r="U35" s="289"/>
      <c r="V35" s="60"/>
      <c r="W35" s="60"/>
      <c r="X35" s="60"/>
      <c r="Y35" s="60"/>
      <c r="Z35" s="60"/>
      <c r="AA35" s="14" t="s">
        <v>67</v>
      </c>
      <c r="AB35" s="60" t="s">
        <v>452</v>
      </c>
      <c r="AC35" s="61">
        <v>12</v>
      </c>
      <c r="AD35" s="60" t="s">
        <v>453</v>
      </c>
      <c r="AE35" s="60" t="s">
        <v>85</v>
      </c>
      <c r="AF35" s="48">
        <v>6</v>
      </c>
      <c r="AG35" s="14" t="s">
        <v>69</v>
      </c>
      <c r="AH35" s="60"/>
      <c r="AI35" s="60"/>
      <c r="AJ35" s="10"/>
      <c r="AK35" s="48">
        <v>7</v>
      </c>
      <c r="AL35" s="10"/>
      <c r="AM35" s="285"/>
      <c r="AN35" s="286"/>
      <c r="AO35" s="286"/>
      <c r="AP35" s="286"/>
      <c r="AQ35" s="286"/>
      <c r="AR35" s="286"/>
      <c r="AS35" s="286"/>
      <c r="AT35" s="286"/>
      <c r="AU35" s="287"/>
      <c r="AV35" s="10"/>
    </row>
    <row r="36" spans="4:48"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2" t="s">
        <v>454</v>
      </c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</row>
    <row r="37" spans="4:48"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</row>
    <row r="38" spans="4:48">
      <c r="D38" s="50" t="s">
        <v>455</v>
      </c>
      <c r="E38" s="50" t="s">
        <v>456</v>
      </c>
    </row>
    <row r="39" spans="4:48">
      <c r="AO39" s="131" t="s">
        <v>364</v>
      </c>
      <c r="AP39" s="131"/>
      <c r="AQ39" s="131"/>
    </row>
    <row r="40" spans="4:48">
      <c r="AO40" s="131"/>
      <c r="AP40" s="131"/>
      <c r="AQ40" s="131"/>
    </row>
  </sheetData>
  <mergeCells count="26">
    <mergeCell ref="AN7:AV7"/>
    <mergeCell ref="AM14:AU14"/>
    <mergeCell ref="AN3:AV5"/>
    <mergeCell ref="E16:F17"/>
    <mergeCell ref="G16:AI17"/>
    <mergeCell ref="AM16:AU17"/>
    <mergeCell ref="D5:L11"/>
    <mergeCell ref="AM25:AU26"/>
    <mergeCell ref="E28:F29"/>
    <mergeCell ref="G28:AI29"/>
    <mergeCell ref="AM28:AU29"/>
    <mergeCell ref="E19:F20"/>
    <mergeCell ref="G19:AI20"/>
    <mergeCell ref="AM19:AU20"/>
    <mergeCell ref="E22:F23"/>
    <mergeCell ref="AM22:AU23"/>
    <mergeCell ref="G22:V23"/>
    <mergeCell ref="G25:U26"/>
    <mergeCell ref="G31:U32"/>
    <mergeCell ref="G34:U35"/>
    <mergeCell ref="E25:F26"/>
    <mergeCell ref="AO39:AQ40"/>
    <mergeCell ref="E31:F32"/>
    <mergeCell ref="AM31:AU32"/>
    <mergeCell ref="E34:F35"/>
    <mergeCell ref="AM34:AU35"/>
  </mergeCells>
  <hyperlinks>
    <hyperlink ref="AO39:AQ40" location="INDUK2!A1" display="HOME" xr:uid="{00000000-0004-0000-0900-000000000000}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D3:BH30"/>
  <sheetViews>
    <sheetView workbookViewId="0">
      <selection activeCell="B7" sqref="B7"/>
    </sheetView>
  </sheetViews>
  <sheetFormatPr defaultColWidth="9.1796875" defaultRowHeight="11.5"/>
  <cols>
    <col min="1" max="2" width="9.1796875" style="1"/>
    <col min="3" max="88" width="3.453125" style="1" customWidth="1"/>
    <col min="89" max="16384" width="9.1796875" style="1"/>
  </cols>
  <sheetData>
    <row r="3" spans="4:60" ht="15.5">
      <c r="D3" s="3"/>
      <c r="E3" s="4"/>
      <c r="F3" s="4"/>
      <c r="G3" s="4"/>
      <c r="H3" s="4"/>
      <c r="I3" s="4"/>
      <c r="J3" s="4"/>
      <c r="K3" s="4"/>
      <c r="L3" s="17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92" t="s">
        <v>457</v>
      </c>
      <c r="AZ3" s="192"/>
      <c r="BA3" s="192"/>
      <c r="BB3" s="192"/>
      <c r="BC3" s="192"/>
      <c r="BD3" s="192"/>
      <c r="BE3" s="192"/>
      <c r="BF3" s="192"/>
      <c r="BG3" s="192"/>
      <c r="BH3" s="193"/>
    </row>
    <row r="4" spans="4:60" ht="18">
      <c r="D4" s="5" t="s">
        <v>184</v>
      </c>
      <c r="E4" s="6"/>
      <c r="F4" s="6"/>
      <c r="G4" s="6"/>
      <c r="H4" s="6"/>
      <c r="I4" s="6"/>
      <c r="J4" s="6"/>
      <c r="K4" s="6"/>
      <c r="L4" s="19"/>
      <c r="M4" s="20"/>
      <c r="N4" s="20"/>
      <c r="O4" s="20"/>
      <c r="P4" s="20"/>
      <c r="Q4" s="20"/>
      <c r="R4" s="20"/>
      <c r="S4" s="20"/>
      <c r="T4" s="20"/>
      <c r="U4" s="20"/>
      <c r="V4" s="21" t="s">
        <v>1</v>
      </c>
      <c r="W4" s="20"/>
      <c r="X4" s="20"/>
      <c r="Y4" s="20"/>
      <c r="Z4" s="20"/>
      <c r="AA4" s="20"/>
      <c r="AB4" s="20"/>
      <c r="AC4" s="20"/>
      <c r="AD4" s="20"/>
      <c r="AE4" s="20"/>
      <c r="AF4" s="20"/>
      <c r="AG4" s="29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194"/>
      <c r="AZ4" s="194"/>
      <c r="BA4" s="194"/>
      <c r="BB4" s="194"/>
      <c r="BC4" s="194"/>
      <c r="BD4" s="194"/>
      <c r="BE4" s="194"/>
      <c r="BF4" s="194"/>
      <c r="BG4" s="194"/>
      <c r="BH4" s="195"/>
    </row>
    <row r="5" spans="4:60" ht="14">
      <c r="D5" s="227" t="s">
        <v>458</v>
      </c>
      <c r="E5" s="228"/>
      <c r="F5" s="228"/>
      <c r="G5" s="228"/>
      <c r="H5" s="228"/>
      <c r="I5" s="228"/>
      <c r="J5" s="228"/>
      <c r="K5" s="228"/>
      <c r="L5" s="228"/>
      <c r="M5" s="20"/>
      <c r="N5" s="20"/>
      <c r="O5" s="20"/>
      <c r="P5" s="20"/>
      <c r="Q5" s="20"/>
      <c r="R5" s="20"/>
      <c r="S5" s="20"/>
      <c r="T5" s="20"/>
      <c r="U5" s="20"/>
      <c r="V5" s="22" t="s">
        <v>185</v>
      </c>
      <c r="W5" s="20"/>
      <c r="X5" s="20"/>
      <c r="Y5" s="20"/>
      <c r="Z5" s="20"/>
      <c r="AA5" s="20"/>
      <c r="AB5" s="20"/>
      <c r="AC5" s="20"/>
      <c r="AD5" s="20"/>
      <c r="AE5" s="20"/>
      <c r="AF5" s="20"/>
      <c r="AG5" s="29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194"/>
      <c r="AZ5" s="194"/>
      <c r="BA5" s="194"/>
      <c r="BB5" s="194"/>
      <c r="BC5" s="194"/>
      <c r="BD5" s="194"/>
      <c r="BE5" s="194"/>
      <c r="BF5" s="194"/>
      <c r="BG5" s="194"/>
      <c r="BH5" s="195"/>
    </row>
    <row r="6" spans="4:60" ht="3" customHeight="1">
      <c r="D6" s="227"/>
      <c r="E6" s="228"/>
      <c r="F6" s="228"/>
      <c r="G6" s="228"/>
      <c r="H6" s="228"/>
      <c r="I6" s="228"/>
      <c r="J6" s="228"/>
      <c r="K6" s="228"/>
      <c r="L6" s="228"/>
      <c r="M6" s="20"/>
      <c r="N6" s="20"/>
      <c r="O6" s="20"/>
      <c r="P6" s="20"/>
      <c r="Q6" s="20"/>
      <c r="R6" s="20"/>
      <c r="S6" s="20"/>
      <c r="T6" s="20"/>
      <c r="U6" s="20"/>
      <c r="V6" s="23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9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30"/>
      <c r="BB6" s="30"/>
      <c r="BC6" s="30"/>
      <c r="BD6" s="30"/>
      <c r="BE6" s="30"/>
      <c r="BF6" s="30"/>
      <c r="BG6" s="30"/>
      <c r="BH6" s="31"/>
    </row>
    <row r="7" spans="4:60">
      <c r="D7" s="227"/>
      <c r="E7" s="228"/>
      <c r="F7" s="228"/>
      <c r="G7" s="228"/>
      <c r="H7" s="228"/>
      <c r="I7" s="228"/>
      <c r="J7" s="228"/>
      <c r="K7" s="228"/>
      <c r="L7" s="228"/>
      <c r="M7" s="20"/>
      <c r="N7" s="20"/>
      <c r="O7" s="20"/>
      <c r="P7" s="20"/>
      <c r="Q7" s="20"/>
      <c r="R7" s="20"/>
      <c r="S7" s="20"/>
      <c r="T7" s="20"/>
      <c r="U7" s="20"/>
      <c r="V7" s="23" t="s">
        <v>8</v>
      </c>
      <c r="W7" s="20"/>
      <c r="X7" s="20"/>
      <c r="Y7" s="20"/>
      <c r="Z7" s="20"/>
      <c r="AA7" s="20"/>
      <c r="AB7" s="20"/>
      <c r="AC7" s="20"/>
      <c r="AD7" s="20"/>
      <c r="AE7" s="20"/>
      <c r="AF7" s="20"/>
      <c r="AG7" s="29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186" t="s">
        <v>188</v>
      </c>
      <c r="AZ7" s="186"/>
      <c r="BA7" s="186"/>
      <c r="BB7" s="186"/>
      <c r="BC7" s="186"/>
      <c r="BD7" s="186"/>
      <c r="BE7" s="186"/>
      <c r="BF7" s="186"/>
      <c r="BG7" s="186"/>
      <c r="BH7" s="187"/>
    </row>
    <row r="8" spans="4:60" ht="14">
      <c r="D8" s="227"/>
      <c r="E8" s="228"/>
      <c r="F8" s="228"/>
      <c r="G8" s="228"/>
      <c r="H8" s="228"/>
      <c r="I8" s="228"/>
      <c r="J8" s="228"/>
      <c r="K8" s="228"/>
      <c r="L8" s="228"/>
      <c r="M8" s="20"/>
      <c r="N8" s="20"/>
      <c r="O8" s="20"/>
      <c r="P8" s="20"/>
      <c r="Q8" s="20"/>
      <c r="R8" s="20"/>
      <c r="S8" s="20"/>
      <c r="T8" s="20"/>
      <c r="U8" s="20"/>
      <c r="V8" s="25" t="s">
        <v>459</v>
      </c>
      <c r="W8" s="23"/>
      <c r="X8" s="20"/>
      <c r="Y8" s="20"/>
      <c r="Z8" s="20"/>
      <c r="AA8" s="20"/>
      <c r="AB8" s="20"/>
      <c r="AC8" s="20"/>
      <c r="AD8" s="20"/>
      <c r="AE8" s="20"/>
      <c r="AF8" s="20"/>
      <c r="AG8" s="29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30"/>
      <c r="BB8" s="28">
        <f>INDUK1!E14</f>
        <v>2</v>
      </c>
      <c r="BC8" s="28">
        <f>INDUK1!G14</f>
        <v>0</v>
      </c>
      <c r="BD8" s="28">
        <f>INDUK1!I14</f>
        <v>2</v>
      </c>
      <c r="BE8" s="28">
        <f>INDUK1!K14</f>
        <v>5</v>
      </c>
      <c r="BF8" s="30"/>
      <c r="BG8" s="30"/>
      <c r="BH8" s="31"/>
    </row>
    <row r="9" spans="4:60" ht="3" customHeight="1">
      <c r="D9" s="227"/>
      <c r="E9" s="228"/>
      <c r="F9" s="228"/>
      <c r="G9" s="228"/>
      <c r="H9" s="228"/>
      <c r="I9" s="228"/>
      <c r="J9" s="228"/>
      <c r="K9" s="228"/>
      <c r="L9" s="228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9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30"/>
      <c r="BB9" s="30"/>
      <c r="BC9" s="30"/>
      <c r="BD9" s="30"/>
      <c r="BE9" s="30"/>
      <c r="BF9" s="30"/>
      <c r="BG9" s="30"/>
      <c r="BH9" s="31"/>
    </row>
    <row r="10" spans="4:60" ht="14">
      <c r="D10" s="227"/>
      <c r="E10" s="228"/>
      <c r="F10" s="228"/>
      <c r="G10" s="228"/>
      <c r="H10" s="228"/>
      <c r="I10" s="228"/>
      <c r="J10" s="228"/>
      <c r="K10" s="228"/>
      <c r="L10" s="228"/>
      <c r="M10" s="20"/>
      <c r="N10" s="20"/>
      <c r="O10" s="20"/>
      <c r="P10" s="20"/>
      <c r="Q10" s="20"/>
      <c r="R10" s="20"/>
      <c r="S10" s="20"/>
      <c r="T10" s="20"/>
      <c r="U10" s="20"/>
      <c r="V10" s="25"/>
      <c r="W10" s="25" t="s">
        <v>28</v>
      </c>
      <c r="X10" s="20"/>
      <c r="Y10" s="20"/>
      <c r="Z10" s="28">
        <f>INDUK1!AF21</f>
        <v>0</v>
      </c>
      <c r="AA10" s="28">
        <f>INDUK1!AG21</f>
        <v>0</v>
      </c>
      <c r="AB10" s="28">
        <f>INDUK1!AH21</f>
        <v>0</v>
      </c>
      <c r="AC10" s="28">
        <f>INDUK1!AI21</f>
        <v>0</v>
      </c>
      <c r="AD10" s="28">
        <f>INDUK1!AJ21</f>
        <v>0</v>
      </c>
      <c r="AE10" s="28">
        <f>INDUK1!AK21</f>
        <v>0</v>
      </c>
      <c r="AF10" s="28">
        <f>INDUK1!AL21</f>
        <v>0</v>
      </c>
      <c r="AG10" s="28">
        <f>INDUK1!AM21</f>
        <v>0</v>
      </c>
      <c r="AH10" s="28">
        <f>INDUK1!AN21</f>
        <v>0</v>
      </c>
      <c r="AI10" s="28">
        <f>INDUK1!AO21</f>
        <v>0</v>
      </c>
      <c r="AJ10" s="28">
        <f>INDUK1!AP21</f>
        <v>0</v>
      </c>
      <c r="AK10" s="28">
        <f>INDUK1!AQ21</f>
        <v>0</v>
      </c>
      <c r="AL10" s="28">
        <f>INDUK1!AR21</f>
        <v>0</v>
      </c>
      <c r="AM10" s="28">
        <f>INDUK1!AS21</f>
        <v>0</v>
      </c>
      <c r="AN10" s="28">
        <f>INDUK1!AT21</f>
        <v>0</v>
      </c>
      <c r="AO10" s="28">
        <f>INDUK1!AU21</f>
        <v>0</v>
      </c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30"/>
      <c r="BB10" s="30"/>
      <c r="BC10" s="30"/>
      <c r="BD10" s="30"/>
      <c r="BE10" s="30"/>
      <c r="BF10" s="30"/>
      <c r="BG10" s="30"/>
      <c r="BH10" s="31"/>
    </row>
    <row r="11" spans="4:60">
      <c r="D11" s="229"/>
      <c r="E11" s="230"/>
      <c r="F11" s="230"/>
      <c r="G11" s="230"/>
      <c r="H11" s="230"/>
      <c r="I11" s="230"/>
      <c r="J11" s="230"/>
      <c r="K11" s="230"/>
      <c r="L11" s="230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32"/>
    </row>
    <row r="12" spans="4:60" ht="3" customHeight="1"/>
    <row r="13" spans="4:60">
      <c r="D13" s="151" t="s">
        <v>346</v>
      </c>
      <c r="E13" s="151" t="s">
        <v>460</v>
      </c>
      <c r="F13" s="151"/>
      <c r="G13" s="151"/>
      <c r="H13" s="151"/>
      <c r="I13" s="151"/>
      <c r="J13" s="151"/>
      <c r="K13" s="151"/>
      <c r="L13" s="151"/>
      <c r="M13" s="293" t="s">
        <v>461</v>
      </c>
      <c r="N13" s="293"/>
      <c r="O13" s="293"/>
      <c r="P13" s="293"/>
      <c r="Q13" s="293"/>
      <c r="R13" s="293"/>
      <c r="S13" s="293"/>
      <c r="T13" s="293"/>
      <c r="U13" s="293"/>
      <c r="V13" s="293"/>
      <c r="W13" s="293"/>
      <c r="X13" s="293"/>
      <c r="Y13" s="293"/>
      <c r="Z13" s="293"/>
      <c r="AA13" s="293"/>
      <c r="AB13" s="293"/>
      <c r="AC13" s="293"/>
      <c r="AD13" s="293"/>
      <c r="AE13" s="293"/>
      <c r="AF13" s="293"/>
      <c r="AG13" s="293"/>
      <c r="AH13" s="293"/>
      <c r="AI13" s="293"/>
      <c r="AJ13" s="293"/>
      <c r="AK13" s="293"/>
      <c r="AL13" s="293"/>
      <c r="AM13" s="293"/>
      <c r="AN13" s="293"/>
      <c r="AO13" s="293"/>
      <c r="AP13" s="293"/>
      <c r="AQ13" s="293"/>
      <c r="AR13" s="293"/>
      <c r="AS13" s="293"/>
      <c r="AT13" s="293"/>
      <c r="AU13" s="293"/>
      <c r="AV13" s="293"/>
      <c r="AW13" s="293"/>
      <c r="AX13" s="293"/>
      <c r="AY13" s="293"/>
      <c r="AZ13" s="293"/>
      <c r="BA13" s="293"/>
      <c r="BB13" s="293"/>
      <c r="BC13" s="293"/>
      <c r="BD13" s="293"/>
      <c r="BE13" s="293"/>
      <c r="BF13" s="293"/>
      <c r="BG13" s="293"/>
      <c r="BH13" s="249"/>
    </row>
    <row r="14" spans="4:60" ht="3" customHeight="1">
      <c r="D14" s="151"/>
      <c r="E14" s="151"/>
      <c r="F14" s="151"/>
      <c r="G14" s="151"/>
      <c r="H14" s="151"/>
      <c r="I14" s="151"/>
      <c r="J14" s="151"/>
      <c r="K14" s="151"/>
      <c r="L14" s="151"/>
      <c r="M14" s="12"/>
      <c r="N14" s="12"/>
      <c r="O14" s="12"/>
      <c r="P14" s="12"/>
      <c r="Q14" s="12"/>
      <c r="R14" s="12"/>
      <c r="S14" s="12"/>
      <c r="T14" s="54"/>
      <c r="U14" s="12"/>
      <c r="V14" s="12"/>
      <c r="W14" s="12"/>
      <c r="X14" s="12"/>
      <c r="Y14" s="12"/>
      <c r="Z14" s="12"/>
      <c r="AA14" s="12"/>
      <c r="AB14" s="12"/>
      <c r="AC14" s="56"/>
      <c r="AD14" s="12"/>
      <c r="AE14" s="12"/>
      <c r="AF14" s="12"/>
      <c r="AG14" s="12"/>
      <c r="AH14" s="12"/>
      <c r="AI14" s="12"/>
      <c r="AJ14" s="54"/>
      <c r="AK14" s="12"/>
      <c r="AL14" s="12"/>
      <c r="AM14" s="12"/>
      <c r="AN14" s="12"/>
      <c r="AO14" s="12"/>
      <c r="AP14" s="12"/>
      <c r="AQ14" s="12"/>
      <c r="AR14" s="12"/>
      <c r="AS14" s="56"/>
      <c r="AT14" s="12"/>
      <c r="AU14" s="12"/>
      <c r="AV14" s="12"/>
      <c r="AW14" s="12"/>
      <c r="AX14" s="12"/>
      <c r="AY14" s="12"/>
      <c r="AZ14" s="54"/>
      <c r="BA14" s="12"/>
      <c r="BB14" s="12"/>
      <c r="BC14" s="12"/>
      <c r="BD14" s="12"/>
      <c r="BE14" s="12"/>
      <c r="BF14" s="12"/>
      <c r="BG14" s="12"/>
      <c r="BH14" s="54"/>
    </row>
    <row r="15" spans="4:60">
      <c r="D15" s="151"/>
      <c r="E15" s="151"/>
      <c r="F15" s="151"/>
      <c r="G15" s="151"/>
      <c r="H15" s="151"/>
      <c r="I15" s="151"/>
      <c r="J15" s="151"/>
      <c r="K15" s="151"/>
      <c r="L15" s="151"/>
      <c r="M15" s="12"/>
      <c r="N15" s="12" t="s">
        <v>178</v>
      </c>
      <c r="O15" s="12"/>
      <c r="P15" s="28"/>
      <c r="Q15" s="28"/>
      <c r="R15" s="28"/>
      <c r="S15" s="28"/>
      <c r="T15" s="54"/>
      <c r="U15" s="12"/>
      <c r="V15" s="12" t="s">
        <v>178</v>
      </c>
      <c r="W15" s="12"/>
      <c r="X15" s="28"/>
      <c r="Y15" s="28"/>
      <c r="Z15" s="28"/>
      <c r="AA15" s="28"/>
      <c r="AB15" s="12"/>
      <c r="AC15" s="56"/>
      <c r="AD15" s="12" t="s">
        <v>178</v>
      </c>
      <c r="AE15" s="12"/>
      <c r="AF15" s="28"/>
      <c r="AG15" s="28"/>
      <c r="AH15" s="28"/>
      <c r="AI15" s="28"/>
      <c r="AJ15" s="54"/>
      <c r="AK15" s="12"/>
      <c r="AL15" s="12" t="s">
        <v>178</v>
      </c>
      <c r="AM15" s="12"/>
      <c r="AN15" s="28"/>
      <c r="AO15" s="28"/>
      <c r="AP15" s="28"/>
      <c r="AQ15" s="28"/>
      <c r="AR15" s="12"/>
      <c r="AS15" s="56"/>
      <c r="AT15" s="12" t="s">
        <v>178</v>
      </c>
      <c r="AU15" s="12"/>
      <c r="AV15" s="28"/>
      <c r="AW15" s="28"/>
      <c r="AX15" s="28"/>
      <c r="AY15" s="28"/>
      <c r="AZ15" s="58"/>
      <c r="BA15" s="12"/>
      <c r="BB15" s="12" t="s">
        <v>178</v>
      </c>
      <c r="BC15" s="12"/>
      <c r="BD15" s="28"/>
      <c r="BE15" s="28"/>
      <c r="BF15" s="28"/>
      <c r="BG15" s="28"/>
      <c r="BH15" s="54"/>
    </row>
    <row r="16" spans="4:60" ht="3" customHeight="1">
      <c r="D16" s="151"/>
      <c r="E16" s="151"/>
      <c r="F16" s="151"/>
      <c r="G16" s="151"/>
      <c r="H16" s="151"/>
      <c r="I16" s="151"/>
      <c r="J16" s="151"/>
      <c r="K16" s="151"/>
      <c r="L16" s="151"/>
      <c r="M16" s="53"/>
      <c r="N16" s="53"/>
      <c r="O16" s="53"/>
      <c r="P16" s="53"/>
      <c r="Q16" s="53"/>
      <c r="R16" s="53"/>
      <c r="S16" s="53"/>
      <c r="T16" s="55"/>
      <c r="U16" s="53"/>
      <c r="V16" s="53"/>
      <c r="W16" s="53"/>
      <c r="X16" s="53"/>
      <c r="Y16" s="53"/>
      <c r="Z16" s="53"/>
      <c r="AA16" s="53"/>
      <c r="AB16" s="53"/>
      <c r="AC16" s="57"/>
      <c r="AD16" s="53"/>
      <c r="AE16" s="53"/>
      <c r="AF16" s="53"/>
      <c r="AG16" s="53"/>
      <c r="AH16" s="53"/>
      <c r="AI16" s="53"/>
      <c r="AJ16" s="55"/>
      <c r="AK16" s="53"/>
      <c r="AL16" s="53"/>
      <c r="AM16" s="53"/>
      <c r="AN16" s="53"/>
      <c r="AO16" s="53"/>
      <c r="AP16" s="53"/>
      <c r="AQ16" s="53"/>
      <c r="AR16" s="53"/>
      <c r="AS16" s="57"/>
      <c r="AT16" s="53"/>
      <c r="AU16" s="53"/>
      <c r="AV16" s="53"/>
      <c r="AW16" s="53"/>
      <c r="AX16" s="53"/>
      <c r="AY16" s="53"/>
      <c r="AZ16" s="55"/>
      <c r="BA16" s="53"/>
      <c r="BB16" s="53"/>
      <c r="BC16" s="53"/>
      <c r="BD16" s="53"/>
      <c r="BE16" s="53"/>
      <c r="BF16" s="53"/>
      <c r="BG16" s="53"/>
      <c r="BH16" s="55"/>
    </row>
    <row r="17" spans="4:60">
      <c r="D17" s="151"/>
      <c r="E17" s="132" t="s">
        <v>462</v>
      </c>
      <c r="F17" s="132"/>
      <c r="G17" s="132"/>
      <c r="H17" s="132"/>
      <c r="I17" s="151" t="s">
        <v>352</v>
      </c>
      <c r="J17" s="151"/>
      <c r="K17" s="151"/>
      <c r="L17" s="151"/>
      <c r="M17" s="208" t="s">
        <v>352</v>
      </c>
      <c r="N17" s="208"/>
      <c r="O17" s="208"/>
      <c r="P17" s="208"/>
      <c r="Q17" s="208"/>
      <c r="R17" s="208"/>
      <c r="S17" s="208"/>
      <c r="T17" s="294"/>
      <c r="U17" s="208" t="s">
        <v>352</v>
      </c>
      <c r="V17" s="208"/>
      <c r="W17" s="208"/>
      <c r="X17" s="208"/>
      <c r="Y17" s="208"/>
      <c r="Z17" s="208"/>
      <c r="AA17" s="208"/>
      <c r="AB17" s="208"/>
      <c r="AC17" s="297" t="s">
        <v>352</v>
      </c>
      <c r="AD17" s="208"/>
      <c r="AE17" s="208"/>
      <c r="AF17" s="208"/>
      <c r="AG17" s="208"/>
      <c r="AH17" s="208"/>
      <c r="AI17" s="208"/>
      <c r="AJ17" s="294"/>
      <c r="AK17" s="208" t="s">
        <v>352</v>
      </c>
      <c r="AL17" s="208"/>
      <c r="AM17" s="208"/>
      <c r="AN17" s="208"/>
      <c r="AO17" s="208"/>
      <c r="AP17" s="208"/>
      <c r="AQ17" s="208"/>
      <c r="AR17" s="208"/>
      <c r="AS17" s="297" t="s">
        <v>463</v>
      </c>
      <c r="AT17" s="208"/>
      <c r="AU17" s="208"/>
      <c r="AV17" s="208"/>
      <c r="AW17" s="208"/>
      <c r="AX17" s="208"/>
      <c r="AY17" s="208"/>
      <c r="AZ17" s="294"/>
      <c r="BA17" s="208" t="s">
        <v>464</v>
      </c>
      <c r="BB17" s="208"/>
      <c r="BC17" s="208"/>
      <c r="BD17" s="208"/>
      <c r="BE17" s="208"/>
      <c r="BF17" s="208"/>
      <c r="BG17" s="208"/>
      <c r="BH17" s="294"/>
    </row>
    <row r="18" spans="4:60">
      <c r="D18" s="174"/>
      <c r="E18" s="164"/>
      <c r="F18" s="164"/>
      <c r="G18" s="164"/>
      <c r="H18" s="164"/>
      <c r="I18" s="174"/>
      <c r="J18" s="174"/>
      <c r="K18" s="174"/>
      <c r="L18" s="174"/>
      <c r="M18" s="208" t="s">
        <v>465</v>
      </c>
      <c r="N18" s="208"/>
      <c r="O18" s="208"/>
      <c r="P18" s="208"/>
      <c r="Q18" s="208"/>
      <c r="R18" s="208"/>
      <c r="S18" s="208"/>
      <c r="T18" s="294"/>
      <c r="U18" s="208" t="s">
        <v>466</v>
      </c>
      <c r="V18" s="208"/>
      <c r="W18" s="208"/>
      <c r="X18" s="208"/>
      <c r="Y18" s="208"/>
      <c r="Z18" s="208"/>
      <c r="AA18" s="208"/>
      <c r="AB18" s="208"/>
      <c r="AC18" s="297" t="s">
        <v>467</v>
      </c>
      <c r="AD18" s="208"/>
      <c r="AE18" s="208"/>
      <c r="AF18" s="208"/>
      <c r="AG18" s="208"/>
      <c r="AH18" s="208"/>
      <c r="AI18" s="208"/>
      <c r="AJ18" s="294"/>
      <c r="AK18" s="208" t="s">
        <v>468</v>
      </c>
      <c r="AL18" s="208"/>
      <c r="AM18" s="208"/>
      <c r="AN18" s="208"/>
      <c r="AO18" s="208"/>
      <c r="AP18" s="208"/>
      <c r="AQ18" s="208"/>
      <c r="AR18" s="208"/>
      <c r="AS18" s="297" t="s">
        <v>469</v>
      </c>
      <c r="AT18" s="208"/>
      <c r="AU18" s="208"/>
      <c r="AV18" s="208"/>
      <c r="AW18" s="208"/>
      <c r="AX18" s="208"/>
      <c r="AY18" s="208"/>
      <c r="AZ18" s="294"/>
      <c r="BA18" s="208" t="s">
        <v>470</v>
      </c>
      <c r="BB18" s="208"/>
      <c r="BC18" s="208"/>
      <c r="BD18" s="208"/>
      <c r="BE18" s="208"/>
      <c r="BF18" s="208"/>
      <c r="BG18" s="208"/>
      <c r="BH18" s="294"/>
    </row>
    <row r="19" spans="4:60">
      <c r="D19" s="128" t="s">
        <v>201</v>
      </c>
      <c r="E19" s="162" t="s">
        <v>202</v>
      </c>
      <c r="F19" s="161"/>
      <c r="G19" s="161"/>
      <c r="H19" s="161"/>
      <c r="I19" s="162" t="s">
        <v>203</v>
      </c>
      <c r="J19" s="161"/>
      <c r="K19" s="161"/>
      <c r="L19" s="161"/>
      <c r="M19" s="295" t="s">
        <v>204</v>
      </c>
      <c r="N19" s="293"/>
      <c r="O19" s="293"/>
      <c r="P19" s="293"/>
      <c r="Q19" s="293"/>
      <c r="R19" s="293"/>
      <c r="S19" s="293"/>
      <c r="T19" s="249"/>
      <c r="U19" s="295" t="s">
        <v>205</v>
      </c>
      <c r="V19" s="293"/>
      <c r="W19" s="293"/>
      <c r="X19" s="293"/>
      <c r="Y19" s="293"/>
      <c r="Z19" s="293"/>
      <c r="AA19" s="293"/>
      <c r="AB19" s="293"/>
      <c r="AC19" s="296" t="s">
        <v>354</v>
      </c>
      <c r="AD19" s="293"/>
      <c r="AE19" s="293"/>
      <c r="AF19" s="293"/>
      <c r="AG19" s="293"/>
      <c r="AH19" s="293"/>
      <c r="AI19" s="293"/>
      <c r="AJ19" s="249"/>
      <c r="AK19" s="295" t="s">
        <v>207</v>
      </c>
      <c r="AL19" s="293"/>
      <c r="AM19" s="293"/>
      <c r="AN19" s="293"/>
      <c r="AO19" s="293"/>
      <c r="AP19" s="293"/>
      <c r="AQ19" s="293"/>
      <c r="AR19" s="293"/>
      <c r="AS19" s="296" t="s">
        <v>208</v>
      </c>
      <c r="AT19" s="293"/>
      <c r="AU19" s="293"/>
      <c r="AV19" s="293"/>
      <c r="AW19" s="293"/>
      <c r="AX19" s="293"/>
      <c r="AY19" s="293"/>
      <c r="AZ19" s="249"/>
      <c r="BA19" s="295" t="s">
        <v>209</v>
      </c>
      <c r="BB19" s="293"/>
      <c r="BC19" s="293"/>
      <c r="BD19" s="293"/>
      <c r="BE19" s="293"/>
      <c r="BF19" s="293"/>
      <c r="BG19" s="293"/>
      <c r="BH19" s="249"/>
    </row>
    <row r="20" spans="4:60">
      <c r="D20" s="33"/>
      <c r="E20" s="231"/>
      <c r="F20" s="231"/>
      <c r="G20" s="231"/>
      <c r="H20" s="231"/>
      <c r="I20" s="231"/>
      <c r="J20" s="231"/>
      <c r="K20" s="231"/>
      <c r="L20" s="231"/>
      <c r="M20" s="290"/>
      <c r="N20" s="290"/>
      <c r="O20" s="290"/>
      <c r="P20" s="290"/>
      <c r="Q20" s="290"/>
      <c r="R20" s="290"/>
      <c r="S20" s="290"/>
      <c r="T20" s="279"/>
      <c r="U20" s="290"/>
      <c r="V20" s="290"/>
      <c r="W20" s="290"/>
      <c r="X20" s="290"/>
      <c r="Y20" s="290"/>
      <c r="Z20" s="290"/>
      <c r="AA20" s="290"/>
      <c r="AB20" s="290"/>
      <c r="AC20" s="291"/>
      <c r="AD20" s="290"/>
      <c r="AE20" s="290"/>
      <c r="AF20" s="290"/>
      <c r="AG20" s="290"/>
      <c r="AH20" s="290"/>
      <c r="AI20" s="290"/>
      <c r="AJ20" s="279"/>
      <c r="AK20" s="290"/>
      <c r="AL20" s="290"/>
      <c r="AM20" s="290"/>
      <c r="AN20" s="290"/>
      <c r="AO20" s="290"/>
      <c r="AP20" s="290"/>
      <c r="AQ20" s="290"/>
      <c r="AR20" s="290"/>
      <c r="AS20" s="291"/>
      <c r="AT20" s="290"/>
      <c r="AU20" s="290"/>
      <c r="AV20" s="290"/>
      <c r="AW20" s="290"/>
      <c r="AX20" s="290"/>
      <c r="AY20" s="290"/>
      <c r="AZ20" s="279"/>
      <c r="BA20" s="290"/>
      <c r="BB20" s="290"/>
      <c r="BC20" s="290"/>
      <c r="BD20" s="290"/>
      <c r="BE20" s="290"/>
      <c r="BF20" s="290"/>
      <c r="BG20" s="290"/>
      <c r="BH20" s="279"/>
    </row>
    <row r="21" spans="4:60">
      <c r="D21" s="33"/>
      <c r="E21" s="231"/>
      <c r="F21" s="231"/>
      <c r="G21" s="231"/>
      <c r="H21" s="231"/>
      <c r="I21" s="231"/>
      <c r="J21" s="231"/>
      <c r="K21" s="231"/>
      <c r="L21" s="231"/>
      <c r="M21" s="290"/>
      <c r="N21" s="290"/>
      <c r="O21" s="290"/>
      <c r="P21" s="290"/>
      <c r="Q21" s="290"/>
      <c r="R21" s="290"/>
      <c r="S21" s="290"/>
      <c r="T21" s="279"/>
      <c r="U21" s="290"/>
      <c r="V21" s="290"/>
      <c r="W21" s="290"/>
      <c r="X21" s="290"/>
      <c r="Y21" s="290"/>
      <c r="Z21" s="290"/>
      <c r="AA21" s="290"/>
      <c r="AB21" s="290"/>
      <c r="AC21" s="291"/>
      <c r="AD21" s="290"/>
      <c r="AE21" s="290"/>
      <c r="AF21" s="290"/>
      <c r="AG21" s="290"/>
      <c r="AH21" s="290"/>
      <c r="AI21" s="290"/>
      <c r="AJ21" s="279"/>
      <c r="AK21" s="290"/>
      <c r="AL21" s="290"/>
      <c r="AM21" s="290"/>
      <c r="AN21" s="290"/>
      <c r="AO21" s="290"/>
      <c r="AP21" s="290"/>
      <c r="AQ21" s="290"/>
      <c r="AR21" s="290"/>
      <c r="AS21" s="291"/>
      <c r="AT21" s="290"/>
      <c r="AU21" s="290"/>
      <c r="AV21" s="290"/>
      <c r="AW21" s="290"/>
      <c r="AX21" s="290"/>
      <c r="AY21" s="290"/>
      <c r="AZ21" s="279"/>
      <c r="BA21" s="290"/>
      <c r="BB21" s="290"/>
      <c r="BC21" s="290"/>
      <c r="BD21" s="290"/>
      <c r="BE21" s="290"/>
      <c r="BF21" s="290"/>
      <c r="BG21" s="290"/>
      <c r="BH21" s="279"/>
    </row>
    <row r="22" spans="4:60">
      <c r="D22" s="33"/>
      <c r="E22" s="231"/>
      <c r="F22" s="231"/>
      <c r="G22" s="231"/>
      <c r="H22" s="231"/>
      <c r="I22" s="231"/>
      <c r="J22" s="231"/>
      <c r="K22" s="231"/>
      <c r="L22" s="231"/>
      <c r="M22" s="290"/>
      <c r="N22" s="290"/>
      <c r="O22" s="290"/>
      <c r="P22" s="290"/>
      <c r="Q22" s="290"/>
      <c r="R22" s="290"/>
      <c r="S22" s="290"/>
      <c r="T22" s="279"/>
      <c r="U22" s="290"/>
      <c r="V22" s="290"/>
      <c r="W22" s="290"/>
      <c r="X22" s="290"/>
      <c r="Y22" s="290"/>
      <c r="Z22" s="290"/>
      <c r="AA22" s="290"/>
      <c r="AB22" s="290"/>
      <c r="AC22" s="291"/>
      <c r="AD22" s="290"/>
      <c r="AE22" s="290"/>
      <c r="AF22" s="290"/>
      <c r="AG22" s="290"/>
      <c r="AH22" s="290"/>
      <c r="AI22" s="290"/>
      <c r="AJ22" s="279"/>
      <c r="AK22" s="290"/>
      <c r="AL22" s="290"/>
      <c r="AM22" s="290"/>
      <c r="AN22" s="290"/>
      <c r="AO22" s="290"/>
      <c r="AP22" s="290"/>
      <c r="AQ22" s="290"/>
      <c r="AR22" s="290"/>
      <c r="AS22" s="291"/>
      <c r="AT22" s="290"/>
      <c r="AU22" s="290"/>
      <c r="AV22" s="290"/>
      <c r="AW22" s="290"/>
      <c r="AX22" s="290"/>
      <c r="AY22" s="290"/>
      <c r="AZ22" s="279"/>
      <c r="BA22" s="290"/>
      <c r="BB22" s="290"/>
      <c r="BC22" s="290"/>
      <c r="BD22" s="290"/>
      <c r="BE22" s="290"/>
      <c r="BF22" s="290"/>
      <c r="BG22" s="290"/>
      <c r="BH22" s="279"/>
    </row>
    <row r="23" spans="4:60">
      <c r="D23" s="33"/>
      <c r="E23" s="231"/>
      <c r="F23" s="231"/>
      <c r="G23" s="231"/>
      <c r="H23" s="231"/>
      <c r="I23" s="231"/>
      <c r="J23" s="231"/>
      <c r="K23" s="231"/>
      <c r="L23" s="231"/>
      <c r="M23" s="290"/>
      <c r="N23" s="290"/>
      <c r="O23" s="290"/>
      <c r="P23" s="290"/>
      <c r="Q23" s="290"/>
      <c r="R23" s="290"/>
      <c r="S23" s="290"/>
      <c r="T23" s="279"/>
      <c r="U23" s="290"/>
      <c r="V23" s="290"/>
      <c r="W23" s="290"/>
      <c r="X23" s="290"/>
      <c r="Y23" s="290"/>
      <c r="Z23" s="290"/>
      <c r="AA23" s="290"/>
      <c r="AB23" s="290"/>
      <c r="AC23" s="291"/>
      <c r="AD23" s="290"/>
      <c r="AE23" s="290"/>
      <c r="AF23" s="290"/>
      <c r="AG23" s="290"/>
      <c r="AH23" s="290"/>
      <c r="AI23" s="290"/>
      <c r="AJ23" s="279"/>
      <c r="AK23" s="290"/>
      <c r="AL23" s="290"/>
      <c r="AM23" s="290"/>
      <c r="AN23" s="290"/>
      <c r="AO23" s="290"/>
      <c r="AP23" s="290"/>
      <c r="AQ23" s="290"/>
      <c r="AR23" s="290"/>
      <c r="AS23" s="291"/>
      <c r="AT23" s="290"/>
      <c r="AU23" s="290"/>
      <c r="AV23" s="290"/>
      <c r="AW23" s="290"/>
      <c r="AX23" s="290"/>
      <c r="AY23" s="290"/>
      <c r="AZ23" s="279"/>
      <c r="BA23" s="290"/>
      <c r="BB23" s="290"/>
      <c r="BC23" s="290"/>
      <c r="BD23" s="290"/>
      <c r="BE23" s="290"/>
      <c r="BF23" s="290"/>
      <c r="BG23" s="290"/>
      <c r="BH23" s="279"/>
    </row>
    <row r="24" spans="4:60">
      <c r="D24" s="33"/>
      <c r="E24" s="231"/>
      <c r="F24" s="231"/>
      <c r="G24" s="231"/>
      <c r="H24" s="231"/>
      <c r="I24" s="231"/>
      <c r="J24" s="231"/>
      <c r="K24" s="231"/>
      <c r="L24" s="231"/>
      <c r="M24" s="290"/>
      <c r="N24" s="290"/>
      <c r="O24" s="290"/>
      <c r="P24" s="290"/>
      <c r="Q24" s="290"/>
      <c r="R24" s="290"/>
      <c r="S24" s="290"/>
      <c r="T24" s="279"/>
      <c r="U24" s="290"/>
      <c r="V24" s="290"/>
      <c r="W24" s="290"/>
      <c r="X24" s="290"/>
      <c r="Y24" s="290"/>
      <c r="Z24" s="290"/>
      <c r="AA24" s="290"/>
      <c r="AB24" s="290"/>
      <c r="AC24" s="291"/>
      <c r="AD24" s="290"/>
      <c r="AE24" s="290"/>
      <c r="AF24" s="290"/>
      <c r="AG24" s="290"/>
      <c r="AH24" s="290"/>
      <c r="AI24" s="290"/>
      <c r="AJ24" s="279"/>
      <c r="AK24" s="290"/>
      <c r="AL24" s="290"/>
      <c r="AM24" s="290"/>
      <c r="AN24" s="290"/>
      <c r="AO24" s="290"/>
      <c r="AP24" s="290"/>
      <c r="AQ24" s="290"/>
      <c r="AR24" s="290"/>
      <c r="AS24" s="291"/>
      <c r="AT24" s="290"/>
      <c r="AU24" s="290"/>
      <c r="AV24" s="290"/>
      <c r="AW24" s="290"/>
      <c r="AX24" s="290"/>
      <c r="AY24" s="290"/>
      <c r="AZ24" s="279"/>
      <c r="BA24" s="290"/>
      <c r="BB24" s="290"/>
      <c r="BC24" s="290"/>
      <c r="BD24" s="290"/>
      <c r="BE24" s="290"/>
      <c r="BF24" s="290"/>
      <c r="BG24" s="290"/>
      <c r="BH24" s="279"/>
    </row>
    <row r="25" spans="4:60">
      <c r="D25" s="33"/>
      <c r="E25" s="231"/>
      <c r="F25" s="231"/>
      <c r="G25" s="231"/>
      <c r="H25" s="231"/>
      <c r="I25" s="231"/>
      <c r="J25" s="231"/>
      <c r="K25" s="231"/>
      <c r="L25" s="231"/>
      <c r="M25" s="290"/>
      <c r="N25" s="290"/>
      <c r="O25" s="290"/>
      <c r="P25" s="290"/>
      <c r="Q25" s="290"/>
      <c r="R25" s="290"/>
      <c r="S25" s="290"/>
      <c r="T25" s="279"/>
      <c r="U25" s="290"/>
      <c r="V25" s="290"/>
      <c r="W25" s="290"/>
      <c r="X25" s="290"/>
      <c r="Y25" s="290"/>
      <c r="Z25" s="290"/>
      <c r="AA25" s="290"/>
      <c r="AB25" s="290"/>
      <c r="AC25" s="291"/>
      <c r="AD25" s="290"/>
      <c r="AE25" s="290"/>
      <c r="AF25" s="290"/>
      <c r="AG25" s="290"/>
      <c r="AH25" s="290"/>
      <c r="AI25" s="290"/>
      <c r="AJ25" s="279"/>
      <c r="AK25" s="290"/>
      <c r="AL25" s="290"/>
      <c r="AM25" s="290"/>
      <c r="AN25" s="290"/>
      <c r="AO25" s="290"/>
      <c r="AP25" s="290"/>
      <c r="AQ25" s="290"/>
      <c r="AR25" s="290"/>
      <c r="AS25" s="291"/>
      <c r="AT25" s="290"/>
      <c r="AU25" s="290"/>
      <c r="AV25" s="290"/>
      <c r="AW25" s="290"/>
      <c r="AX25" s="290"/>
      <c r="AY25" s="290"/>
      <c r="AZ25" s="279"/>
      <c r="BA25" s="290"/>
      <c r="BB25" s="290"/>
      <c r="BC25" s="290"/>
      <c r="BD25" s="290"/>
      <c r="BE25" s="290"/>
      <c r="BF25" s="290"/>
      <c r="BG25" s="290"/>
      <c r="BH25" s="279"/>
    </row>
    <row r="26" spans="4:60">
      <c r="D26" s="33"/>
      <c r="E26" s="231"/>
      <c r="F26" s="231"/>
      <c r="G26" s="231"/>
      <c r="H26" s="231"/>
      <c r="I26" s="231"/>
      <c r="J26" s="231"/>
      <c r="K26" s="231"/>
      <c r="L26" s="231"/>
      <c r="M26" s="290"/>
      <c r="N26" s="290"/>
      <c r="O26" s="290"/>
      <c r="P26" s="290"/>
      <c r="Q26" s="290"/>
      <c r="R26" s="290"/>
      <c r="S26" s="290"/>
      <c r="T26" s="279"/>
      <c r="U26" s="290"/>
      <c r="V26" s="290"/>
      <c r="W26" s="290"/>
      <c r="X26" s="290"/>
      <c r="Y26" s="290"/>
      <c r="Z26" s="290"/>
      <c r="AA26" s="290"/>
      <c r="AB26" s="290"/>
      <c r="AC26" s="291"/>
      <c r="AD26" s="290"/>
      <c r="AE26" s="290"/>
      <c r="AF26" s="290"/>
      <c r="AG26" s="290"/>
      <c r="AH26" s="290"/>
      <c r="AI26" s="290"/>
      <c r="AJ26" s="279"/>
      <c r="AK26" s="290"/>
      <c r="AL26" s="290"/>
      <c r="AM26" s="290"/>
      <c r="AN26" s="290"/>
      <c r="AO26" s="290"/>
      <c r="AP26" s="290"/>
      <c r="AQ26" s="290"/>
      <c r="AR26" s="290"/>
      <c r="AS26" s="291"/>
      <c r="AT26" s="290"/>
      <c r="AU26" s="290"/>
      <c r="AV26" s="290"/>
      <c r="AW26" s="290"/>
      <c r="AX26" s="290"/>
      <c r="AY26" s="290"/>
      <c r="AZ26" s="279"/>
      <c r="BA26" s="290"/>
      <c r="BB26" s="290"/>
      <c r="BC26" s="290"/>
      <c r="BD26" s="290"/>
      <c r="BE26" s="290"/>
      <c r="BF26" s="290"/>
      <c r="BG26" s="290"/>
      <c r="BH26" s="279"/>
    </row>
    <row r="27" spans="4:60">
      <c r="D27" s="292" t="s">
        <v>355</v>
      </c>
      <c r="E27" s="293"/>
      <c r="F27" s="293"/>
      <c r="G27" s="293"/>
      <c r="H27" s="293"/>
      <c r="I27" s="293"/>
      <c r="J27" s="293"/>
      <c r="K27" s="293"/>
      <c r="L27" s="293"/>
      <c r="M27" s="293"/>
      <c r="N27" s="293"/>
      <c r="O27" s="293"/>
      <c r="P27" s="293"/>
      <c r="Q27" s="293"/>
      <c r="R27" s="293"/>
      <c r="S27" s="293"/>
      <c r="T27" s="293"/>
      <c r="U27" s="293"/>
      <c r="V27" s="293"/>
      <c r="W27" s="293"/>
      <c r="X27" s="293"/>
      <c r="Y27" s="293"/>
      <c r="Z27" s="293"/>
      <c r="AA27" s="293"/>
      <c r="AB27" s="293"/>
      <c r="AC27" s="293"/>
      <c r="AD27" s="293"/>
      <c r="AE27" s="293"/>
      <c r="AF27" s="293"/>
      <c r="AG27" s="293"/>
      <c r="AH27" s="293"/>
      <c r="AI27" s="293"/>
      <c r="AJ27" s="293"/>
      <c r="AK27" s="293"/>
      <c r="AL27" s="293"/>
      <c r="AM27" s="293"/>
      <c r="AN27" s="293"/>
      <c r="AO27" s="293"/>
      <c r="AP27" s="293"/>
      <c r="AQ27" s="293"/>
      <c r="AR27" s="293"/>
      <c r="AS27" s="48">
        <v>8</v>
      </c>
      <c r="AT27" s="290">
        <f>SUM(AS20:AS26)</f>
        <v>0</v>
      </c>
      <c r="AU27" s="290"/>
      <c r="AV27" s="290"/>
      <c r="AW27" s="290"/>
      <c r="AX27" s="290"/>
      <c r="AY27" s="290"/>
      <c r="AZ27" s="279"/>
      <c r="BA27" s="48">
        <v>9</v>
      </c>
      <c r="BB27" s="290">
        <f>SUM(BA20:BA26)</f>
        <v>0</v>
      </c>
      <c r="BC27" s="290"/>
      <c r="BD27" s="290"/>
      <c r="BE27" s="290"/>
      <c r="BF27" s="290"/>
      <c r="BG27" s="290"/>
      <c r="BH27" s="279"/>
    </row>
    <row r="28" spans="4:60">
      <c r="D28" s="50" t="s">
        <v>453</v>
      </c>
      <c r="E28" s="36" t="s">
        <v>471</v>
      </c>
    </row>
    <row r="29" spans="4:60">
      <c r="D29" s="50" t="s">
        <v>472</v>
      </c>
      <c r="E29" s="36" t="s">
        <v>473</v>
      </c>
      <c r="BC29" s="131" t="s">
        <v>364</v>
      </c>
      <c r="BD29" s="131"/>
      <c r="BE29" s="131"/>
    </row>
    <row r="30" spans="4:60">
      <c r="BC30" s="131"/>
      <c r="BD30" s="131"/>
      <c r="BE30" s="131"/>
    </row>
  </sheetData>
  <mergeCells count="88">
    <mergeCell ref="AY7:BH7"/>
    <mergeCell ref="M13:BH13"/>
    <mergeCell ref="M17:T17"/>
    <mergeCell ref="U17:AB17"/>
    <mergeCell ref="AC17:AJ17"/>
    <mergeCell ref="AK17:AR17"/>
    <mergeCell ref="AS17:AZ17"/>
    <mergeCell ref="BA17:BH17"/>
    <mergeCell ref="BA18:BH18"/>
    <mergeCell ref="E19:H19"/>
    <mergeCell ref="I19:L19"/>
    <mergeCell ref="M19:T19"/>
    <mergeCell ref="U19:AB19"/>
    <mergeCell ref="AC19:AJ19"/>
    <mergeCell ref="AK19:AR19"/>
    <mergeCell ref="AS19:AZ19"/>
    <mergeCell ref="BA19:BH19"/>
    <mergeCell ref="M18:T18"/>
    <mergeCell ref="U18:AB18"/>
    <mergeCell ref="AC18:AJ18"/>
    <mergeCell ref="AK18:AR18"/>
    <mergeCell ref="AS18:AZ18"/>
    <mergeCell ref="AK20:AR20"/>
    <mergeCell ref="AS20:AZ20"/>
    <mergeCell ref="BA20:BH20"/>
    <mergeCell ref="E21:H21"/>
    <mergeCell ref="I21:L21"/>
    <mergeCell ref="M21:T21"/>
    <mergeCell ref="U21:AB21"/>
    <mergeCell ref="AC21:AJ21"/>
    <mergeCell ref="AK21:AR21"/>
    <mergeCell ref="AS21:AZ21"/>
    <mergeCell ref="BA21:BH21"/>
    <mergeCell ref="E20:H20"/>
    <mergeCell ref="I20:L20"/>
    <mergeCell ref="M20:T20"/>
    <mergeCell ref="U20:AB20"/>
    <mergeCell ref="AC20:AJ20"/>
    <mergeCell ref="AK22:AR22"/>
    <mergeCell ref="AS22:AZ22"/>
    <mergeCell ref="BA22:BH22"/>
    <mergeCell ref="E23:H23"/>
    <mergeCell ref="I23:L23"/>
    <mergeCell ref="M23:T23"/>
    <mergeCell ref="U23:AB23"/>
    <mergeCell ref="AC23:AJ23"/>
    <mergeCell ref="AK23:AR23"/>
    <mergeCell ref="AS23:AZ23"/>
    <mergeCell ref="BA23:BH23"/>
    <mergeCell ref="E22:H22"/>
    <mergeCell ref="I22:L22"/>
    <mergeCell ref="M22:T22"/>
    <mergeCell ref="U22:AB22"/>
    <mergeCell ref="AC22:AJ22"/>
    <mergeCell ref="E24:H24"/>
    <mergeCell ref="I24:L24"/>
    <mergeCell ref="M24:T24"/>
    <mergeCell ref="U24:AB24"/>
    <mergeCell ref="AC24:AJ24"/>
    <mergeCell ref="E25:H25"/>
    <mergeCell ref="I25:L25"/>
    <mergeCell ref="M25:T25"/>
    <mergeCell ref="U25:AB25"/>
    <mergeCell ref="AC25:AJ25"/>
    <mergeCell ref="U26:AB26"/>
    <mergeCell ref="AC26:AJ26"/>
    <mergeCell ref="AK24:AR24"/>
    <mergeCell ref="AS24:AZ24"/>
    <mergeCell ref="BA24:BH24"/>
    <mergeCell ref="AK25:AR25"/>
    <mergeCell ref="AS25:AZ25"/>
    <mergeCell ref="BA25:BH25"/>
    <mergeCell ref="BC29:BE30"/>
    <mergeCell ref="D13:D18"/>
    <mergeCell ref="D5:L11"/>
    <mergeCell ref="E17:H18"/>
    <mergeCell ref="I17:L18"/>
    <mergeCell ref="AY3:BH5"/>
    <mergeCell ref="E13:L16"/>
    <mergeCell ref="AK26:AR26"/>
    <mergeCell ref="AS26:AZ26"/>
    <mergeCell ref="BA26:BH26"/>
    <mergeCell ref="D27:AR27"/>
    <mergeCell ref="AT27:AZ27"/>
    <mergeCell ref="BB27:BH27"/>
    <mergeCell ref="E26:H26"/>
    <mergeCell ref="I26:L26"/>
    <mergeCell ref="M26:T26"/>
  </mergeCells>
  <hyperlinks>
    <hyperlink ref="BC29:BE30" location="INDUK1!A1" display="HOME" xr:uid="{00000000-0004-0000-0A00-000000000000}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D3:AU46"/>
  <sheetViews>
    <sheetView topLeftCell="D1" workbookViewId="0">
      <selection activeCell="D3" sqref="D3:AU46"/>
    </sheetView>
  </sheetViews>
  <sheetFormatPr defaultColWidth="9.1796875" defaultRowHeight="11.5"/>
  <cols>
    <col min="1" max="2" width="9.1796875" style="1"/>
    <col min="3" max="78" width="3.453125" style="1" customWidth="1"/>
    <col min="79" max="16384" width="9.1796875" style="1"/>
  </cols>
  <sheetData>
    <row r="3" spans="4:47" ht="15.5">
      <c r="D3" s="3"/>
      <c r="E3" s="4"/>
      <c r="F3" s="4"/>
      <c r="G3" s="4"/>
      <c r="H3" s="4"/>
      <c r="I3" s="4"/>
      <c r="J3" s="4"/>
      <c r="K3" s="4"/>
      <c r="L3" s="17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92" t="s">
        <v>474</v>
      </c>
      <c r="AN3" s="192"/>
      <c r="AO3" s="192"/>
      <c r="AP3" s="192"/>
      <c r="AQ3" s="192"/>
      <c r="AR3" s="192"/>
      <c r="AS3" s="192"/>
      <c r="AT3" s="192"/>
      <c r="AU3" s="193"/>
    </row>
    <row r="4" spans="4:47" ht="18">
      <c r="D4" s="5" t="s">
        <v>184</v>
      </c>
      <c r="E4" s="6"/>
      <c r="F4" s="6"/>
      <c r="G4" s="6"/>
      <c r="H4" s="6"/>
      <c r="I4" s="6"/>
      <c r="J4" s="6"/>
      <c r="K4" s="6"/>
      <c r="L4" s="19"/>
      <c r="M4" s="20"/>
      <c r="N4" s="21" t="s">
        <v>1</v>
      </c>
      <c r="O4" s="20"/>
      <c r="P4" s="20"/>
      <c r="Q4" s="20"/>
      <c r="R4" s="20"/>
      <c r="S4" s="20"/>
      <c r="T4" s="20"/>
      <c r="U4" s="20"/>
      <c r="V4" s="20"/>
      <c r="W4" s="20"/>
      <c r="X4" s="20"/>
      <c r="Y4" s="29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194"/>
      <c r="AN4" s="194"/>
      <c r="AO4" s="194"/>
      <c r="AP4" s="194"/>
      <c r="AQ4" s="194"/>
      <c r="AR4" s="194"/>
      <c r="AS4" s="194"/>
      <c r="AT4" s="194"/>
      <c r="AU4" s="195"/>
    </row>
    <row r="5" spans="4:47" ht="14">
      <c r="D5" s="188" t="s">
        <v>475</v>
      </c>
      <c r="E5" s="189"/>
      <c r="F5" s="189"/>
      <c r="G5" s="189"/>
      <c r="H5" s="189"/>
      <c r="I5" s="189"/>
      <c r="J5" s="189"/>
      <c r="K5" s="189"/>
      <c r="L5" s="189"/>
      <c r="M5" s="20"/>
      <c r="N5" s="22" t="s">
        <v>185</v>
      </c>
      <c r="O5" s="20"/>
      <c r="P5" s="20"/>
      <c r="Q5" s="20"/>
      <c r="R5" s="20"/>
      <c r="S5" s="20"/>
      <c r="T5" s="20"/>
      <c r="U5" s="20"/>
      <c r="V5" s="20"/>
      <c r="W5" s="20"/>
      <c r="X5" s="20"/>
      <c r="Y5" s="29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194"/>
      <c r="AN5" s="194"/>
      <c r="AO5" s="194"/>
      <c r="AP5" s="194"/>
      <c r="AQ5" s="194"/>
      <c r="AR5" s="194"/>
      <c r="AS5" s="194"/>
      <c r="AT5" s="194"/>
      <c r="AU5" s="195"/>
    </row>
    <row r="6" spans="4:47" ht="3" customHeight="1">
      <c r="D6" s="188"/>
      <c r="E6" s="189"/>
      <c r="F6" s="189"/>
      <c r="G6" s="189"/>
      <c r="H6" s="189"/>
      <c r="I6" s="189"/>
      <c r="J6" s="189"/>
      <c r="K6" s="189"/>
      <c r="L6" s="189"/>
      <c r="M6" s="20"/>
      <c r="N6" s="23"/>
      <c r="O6" s="20"/>
      <c r="P6" s="20"/>
      <c r="Q6" s="20"/>
      <c r="R6" s="20"/>
      <c r="S6" s="20"/>
      <c r="T6" s="20"/>
      <c r="U6" s="20"/>
      <c r="V6" s="20"/>
      <c r="W6" s="20"/>
      <c r="X6" s="20"/>
      <c r="Y6" s="29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30"/>
      <c r="AP6" s="30"/>
      <c r="AQ6" s="30"/>
      <c r="AR6" s="30"/>
      <c r="AS6" s="30"/>
      <c r="AT6" s="30"/>
      <c r="AU6" s="31"/>
    </row>
    <row r="7" spans="4:47">
      <c r="D7" s="188"/>
      <c r="E7" s="189"/>
      <c r="F7" s="189"/>
      <c r="G7" s="189"/>
      <c r="H7" s="189"/>
      <c r="I7" s="189"/>
      <c r="J7" s="189"/>
      <c r="K7" s="189"/>
      <c r="L7" s="189"/>
      <c r="M7" s="20"/>
      <c r="N7" s="23" t="s">
        <v>8</v>
      </c>
      <c r="O7" s="20"/>
      <c r="P7" s="20"/>
      <c r="Q7" s="20"/>
      <c r="R7" s="20"/>
      <c r="S7" s="20"/>
      <c r="T7" s="20"/>
      <c r="U7" s="20"/>
      <c r="V7" s="20"/>
      <c r="W7" s="20"/>
      <c r="X7" s="20"/>
      <c r="Y7" s="29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186" t="s">
        <v>188</v>
      </c>
      <c r="AN7" s="186"/>
      <c r="AO7" s="186"/>
      <c r="AP7" s="186"/>
      <c r="AQ7" s="186"/>
      <c r="AR7" s="186"/>
      <c r="AS7" s="186"/>
      <c r="AT7" s="186"/>
      <c r="AU7" s="187"/>
    </row>
    <row r="8" spans="4:47" ht="14">
      <c r="D8" s="188"/>
      <c r="E8" s="189"/>
      <c r="F8" s="189"/>
      <c r="G8" s="189"/>
      <c r="H8" s="189"/>
      <c r="I8" s="189"/>
      <c r="J8" s="189"/>
      <c r="K8" s="189"/>
      <c r="L8" s="189"/>
      <c r="M8" s="20"/>
      <c r="N8" s="24"/>
      <c r="O8" s="262" t="s">
        <v>476</v>
      </c>
      <c r="P8" s="262"/>
      <c r="Q8" s="262"/>
      <c r="R8" s="262"/>
      <c r="S8" s="262"/>
      <c r="T8" s="262"/>
      <c r="U8" s="262"/>
      <c r="V8" s="262"/>
      <c r="W8" s="262"/>
      <c r="X8" s="262"/>
      <c r="Y8" s="262"/>
      <c r="Z8" s="262"/>
      <c r="AA8" s="262"/>
      <c r="AB8" s="262"/>
      <c r="AC8" s="262"/>
      <c r="AD8" s="262"/>
      <c r="AE8" s="262"/>
      <c r="AF8" s="262"/>
      <c r="AG8" s="262"/>
      <c r="AH8" s="262"/>
      <c r="AI8" s="262"/>
      <c r="AJ8" s="262"/>
      <c r="AK8" s="262"/>
      <c r="AL8" s="20"/>
      <c r="AM8" s="20"/>
      <c r="AN8" s="20"/>
      <c r="AO8" s="28">
        <f>INDUK1!E14</f>
        <v>2</v>
      </c>
      <c r="AP8" s="28">
        <f>INDUK1!G14</f>
        <v>0</v>
      </c>
      <c r="AQ8" s="28">
        <f>INDUK1!I14</f>
        <v>2</v>
      </c>
      <c r="AR8" s="28">
        <f>INDUK1!K14</f>
        <v>5</v>
      </c>
      <c r="AS8" s="30"/>
      <c r="AT8" s="30"/>
      <c r="AU8" s="31"/>
    </row>
    <row r="9" spans="4:47" ht="14">
      <c r="D9" s="188"/>
      <c r="E9" s="189"/>
      <c r="F9" s="189"/>
      <c r="G9" s="189"/>
      <c r="H9" s="189"/>
      <c r="I9" s="189"/>
      <c r="J9" s="189"/>
      <c r="K9" s="189"/>
      <c r="L9" s="189"/>
      <c r="M9" s="20"/>
      <c r="N9" s="25"/>
      <c r="O9" s="262"/>
      <c r="P9" s="262"/>
      <c r="Q9" s="262"/>
      <c r="R9" s="262"/>
      <c r="S9" s="262"/>
      <c r="T9" s="262"/>
      <c r="U9" s="262"/>
      <c r="V9" s="262"/>
      <c r="W9" s="262"/>
      <c r="X9" s="262"/>
      <c r="Y9" s="262"/>
      <c r="Z9" s="262"/>
      <c r="AA9" s="262"/>
      <c r="AB9" s="262"/>
      <c r="AC9" s="262"/>
      <c r="AD9" s="262"/>
      <c r="AE9" s="262"/>
      <c r="AF9" s="262"/>
      <c r="AG9" s="262"/>
      <c r="AH9" s="262"/>
      <c r="AI9" s="262"/>
      <c r="AJ9" s="262"/>
      <c r="AK9" s="262"/>
      <c r="AL9" s="20"/>
      <c r="AM9" s="20"/>
      <c r="AN9" s="20"/>
      <c r="AO9" s="30"/>
      <c r="AP9" s="30"/>
      <c r="AQ9" s="30"/>
      <c r="AR9" s="30"/>
      <c r="AS9" s="30"/>
      <c r="AT9" s="30"/>
      <c r="AU9" s="31"/>
    </row>
    <row r="10" spans="4:47" ht="3" customHeight="1">
      <c r="D10" s="188"/>
      <c r="E10" s="189"/>
      <c r="F10" s="189"/>
      <c r="G10" s="189"/>
      <c r="H10" s="189"/>
      <c r="I10" s="189"/>
      <c r="J10" s="189"/>
      <c r="K10" s="189"/>
      <c r="L10" s="189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9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30"/>
      <c r="AP10" s="30"/>
      <c r="AQ10" s="30"/>
      <c r="AR10" s="30"/>
      <c r="AS10" s="30"/>
      <c r="AT10" s="30"/>
      <c r="AU10" s="31"/>
    </row>
    <row r="11" spans="4:47" ht="14">
      <c r="D11" s="188"/>
      <c r="E11" s="189"/>
      <c r="F11" s="189"/>
      <c r="G11" s="189"/>
      <c r="H11" s="189"/>
      <c r="I11" s="189"/>
      <c r="J11" s="189"/>
      <c r="K11" s="189"/>
      <c r="L11" s="189"/>
      <c r="M11" s="20"/>
      <c r="N11" s="25"/>
      <c r="O11" s="25" t="s">
        <v>28</v>
      </c>
      <c r="P11" s="20"/>
      <c r="Q11" s="20"/>
      <c r="R11" s="28">
        <f>INDUK1!AF21</f>
        <v>0</v>
      </c>
      <c r="S11" s="28">
        <f>INDUK1!AG21</f>
        <v>0</v>
      </c>
      <c r="T11" s="28">
        <f>INDUK1!AH21</f>
        <v>0</v>
      </c>
      <c r="U11" s="28">
        <f>INDUK1!AI21</f>
        <v>0</v>
      </c>
      <c r="V11" s="28">
        <f>INDUK1!AJ21</f>
        <v>0</v>
      </c>
      <c r="W11" s="28">
        <f>INDUK1!AK21</f>
        <v>0</v>
      </c>
      <c r="X11" s="28">
        <f>INDUK1!AL21</f>
        <v>0</v>
      </c>
      <c r="Y11" s="28">
        <f>INDUK1!AM21</f>
        <v>0</v>
      </c>
      <c r="Z11" s="28">
        <f>INDUK1!AN21</f>
        <v>0</v>
      </c>
      <c r="AA11" s="28">
        <f>INDUK1!AO21</f>
        <v>0</v>
      </c>
      <c r="AB11" s="28">
        <f>INDUK1!AP21</f>
        <v>0</v>
      </c>
      <c r="AC11" s="28">
        <f>INDUK1!AQ21</f>
        <v>0</v>
      </c>
      <c r="AD11" s="28">
        <f>INDUK1!AR21</f>
        <v>0</v>
      </c>
      <c r="AE11" s="28">
        <f>INDUK1!AS21</f>
        <v>0</v>
      </c>
      <c r="AF11" s="28">
        <f>INDUK1!AT21</f>
        <v>0</v>
      </c>
      <c r="AG11" s="28">
        <f>INDUK1!AU21</f>
        <v>0</v>
      </c>
      <c r="AH11" s="20"/>
      <c r="AI11" s="20"/>
      <c r="AJ11" s="20"/>
      <c r="AK11" s="20"/>
      <c r="AL11" s="20"/>
      <c r="AM11" s="20"/>
      <c r="AN11" s="20"/>
      <c r="AO11" s="30"/>
      <c r="AP11" s="30"/>
      <c r="AQ11" s="30"/>
      <c r="AR11" s="30"/>
      <c r="AS11" s="30"/>
      <c r="AT11" s="30"/>
      <c r="AU11" s="31"/>
    </row>
    <row r="12" spans="4:47">
      <c r="D12" s="190"/>
      <c r="E12" s="191"/>
      <c r="F12" s="191"/>
      <c r="G12" s="191"/>
      <c r="H12" s="191"/>
      <c r="I12" s="191"/>
      <c r="J12" s="191"/>
      <c r="K12" s="191"/>
      <c r="L12" s="191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32"/>
    </row>
    <row r="13" spans="4:47" ht="3" customHeight="1"/>
    <row r="14" spans="4:47" ht="3" customHeight="1"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</row>
    <row r="15" spans="4:47"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73" t="s">
        <v>477</v>
      </c>
      <c r="AM15" s="173"/>
      <c r="AN15" s="173"/>
      <c r="AO15" s="173"/>
      <c r="AP15" s="173"/>
      <c r="AQ15" s="173"/>
      <c r="AR15" s="173"/>
      <c r="AS15" s="173"/>
      <c r="AT15" s="173"/>
      <c r="AU15" s="10"/>
    </row>
    <row r="16" spans="4:47" ht="3" customHeight="1"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</row>
    <row r="17" spans="4:47">
      <c r="D17" s="10"/>
      <c r="E17" s="48">
        <v>1</v>
      </c>
      <c r="F17" s="10"/>
      <c r="G17" s="12" t="s">
        <v>478</v>
      </c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301"/>
      <c r="AM17" s="302"/>
      <c r="AN17" s="302"/>
      <c r="AO17" s="302"/>
      <c r="AP17" s="302"/>
      <c r="AQ17" s="302"/>
      <c r="AR17" s="302"/>
      <c r="AS17" s="302"/>
      <c r="AT17" s="303"/>
      <c r="AU17" s="10"/>
    </row>
    <row r="18" spans="4:47">
      <c r="D18" s="10"/>
      <c r="E18" s="10"/>
      <c r="F18" s="10"/>
      <c r="G18" s="12" t="s">
        <v>479</v>
      </c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304"/>
      <c r="AM18" s="305"/>
      <c r="AN18" s="305"/>
      <c r="AO18" s="305"/>
      <c r="AP18" s="305"/>
      <c r="AQ18" s="305"/>
      <c r="AR18" s="305"/>
      <c r="AS18" s="305"/>
      <c r="AT18" s="306"/>
      <c r="AU18" s="10"/>
    </row>
    <row r="19" spans="4:47" ht="3" customHeight="1"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</row>
    <row r="20" spans="4:47">
      <c r="D20" s="10"/>
      <c r="E20" s="48">
        <v>2</v>
      </c>
      <c r="F20" s="10"/>
      <c r="G20" s="12" t="s">
        <v>446</v>
      </c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</row>
    <row r="21" spans="4:47">
      <c r="D21" s="10"/>
      <c r="E21" s="10"/>
      <c r="F21" s="10"/>
      <c r="G21" s="48" t="s">
        <v>49</v>
      </c>
      <c r="H21" s="12" t="s">
        <v>480</v>
      </c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301"/>
      <c r="AM21" s="302"/>
      <c r="AN21" s="302"/>
      <c r="AO21" s="302"/>
      <c r="AP21" s="302"/>
      <c r="AQ21" s="302"/>
      <c r="AR21" s="302"/>
      <c r="AS21" s="302"/>
      <c r="AT21" s="303"/>
      <c r="AU21" s="10"/>
    </row>
    <row r="22" spans="4:47">
      <c r="D22" s="10"/>
      <c r="E22" s="10"/>
      <c r="F22" s="10"/>
      <c r="G22" s="10"/>
      <c r="H22" s="12" t="s">
        <v>481</v>
      </c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304"/>
      <c r="AM22" s="305"/>
      <c r="AN22" s="305"/>
      <c r="AO22" s="305"/>
      <c r="AP22" s="305"/>
      <c r="AQ22" s="305"/>
      <c r="AR22" s="305"/>
      <c r="AS22" s="305"/>
      <c r="AT22" s="306"/>
      <c r="AU22" s="10"/>
    </row>
    <row r="23" spans="4:47" ht="3" customHeight="1"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</row>
    <row r="24" spans="4:47">
      <c r="D24" s="10"/>
      <c r="E24" s="10"/>
      <c r="F24" s="10"/>
      <c r="G24" s="48" t="s">
        <v>52</v>
      </c>
      <c r="H24" s="12" t="s">
        <v>482</v>
      </c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301"/>
      <c r="AM24" s="302"/>
      <c r="AN24" s="302"/>
      <c r="AO24" s="302"/>
      <c r="AP24" s="302"/>
      <c r="AQ24" s="302"/>
      <c r="AR24" s="302"/>
      <c r="AS24" s="302"/>
      <c r="AT24" s="303"/>
      <c r="AU24" s="10"/>
    </row>
    <row r="25" spans="4:47">
      <c r="D25" s="10"/>
      <c r="E25" s="10"/>
      <c r="F25" s="10"/>
      <c r="G25" s="10"/>
      <c r="H25" s="12" t="s">
        <v>483</v>
      </c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304"/>
      <c r="AM25" s="305"/>
      <c r="AN25" s="305"/>
      <c r="AO25" s="305"/>
      <c r="AP25" s="305"/>
      <c r="AQ25" s="305"/>
      <c r="AR25" s="305"/>
      <c r="AS25" s="305"/>
      <c r="AT25" s="306"/>
      <c r="AU25" s="10"/>
    </row>
    <row r="26" spans="4:47" ht="3" customHeight="1"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</row>
    <row r="27" spans="4:47">
      <c r="D27" s="10"/>
      <c r="E27" s="48">
        <v>3</v>
      </c>
      <c r="F27" s="10"/>
      <c r="G27" s="12" t="s">
        <v>396</v>
      </c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</row>
    <row r="28" spans="4:47">
      <c r="D28" s="10"/>
      <c r="E28" s="10"/>
      <c r="F28" s="10"/>
      <c r="G28" s="48" t="s">
        <v>49</v>
      </c>
      <c r="H28" s="10" t="s">
        <v>484</v>
      </c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301"/>
      <c r="AM28" s="302"/>
      <c r="AN28" s="302"/>
      <c r="AO28" s="302"/>
      <c r="AP28" s="302"/>
      <c r="AQ28" s="302"/>
      <c r="AR28" s="302"/>
      <c r="AS28" s="302"/>
      <c r="AT28" s="303"/>
      <c r="AU28" s="10"/>
    </row>
    <row r="29" spans="4:47">
      <c r="D29" s="10"/>
      <c r="E29" s="10"/>
      <c r="F29" s="10"/>
      <c r="G29" s="10"/>
      <c r="H29" s="12" t="s">
        <v>485</v>
      </c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304"/>
      <c r="AM29" s="305"/>
      <c r="AN29" s="305"/>
      <c r="AO29" s="305"/>
      <c r="AP29" s="305"/>
      <c r="AQ29" s="305"/>
      <c r="AR29" s="305"/>
      <c r="AS29" s="305"/>
      <c r="AT29" s="306"/>
      <c r="AU29" s="10"/>
    </row>
    <row r="30" spans="4:47" ht="3" customHeight="1"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</row>
    <row r="31" spans="4:47">
      <c r="D31" s="10"/>
      <c r="E31" s="10"/>
      <c r="F31" s="10"/>
      <c r="G31" s="48" t="s">
        <v>52</v>
      </c>
      <c r="H31" s="10" t="s">
        <v>486</v>
      </c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301"/>
      <c r="AM31" s="302"/>
      <c r="AN31" s="302"/>
      <c r="AO31" s="302"/>
      <c r="AP31" s="302"/>
      <c r="AQ31" s="302"/>
      <c r="AR31" s="302"/>
      <c r="AS31" s="302"/>
      <c r="AT31" s="303"/>
      <c r="AU31" s="10"/>
    </row>
    <row r="32" spans="4:47">
      <c r="D32" s="10"/>
      <c r="E32" s="10"/>
      <c r="F32" s="10"/>
      <c r="G32" s="10"/>
      <c r="H32" s="12" t="s">
        <v>487</v>
      </c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304"/>
      <c r="AM32" s="305"/>
      <c r="AN32" s="305"/>
      <c r="AO32" s="305"/>
      <c r="AP32" s="305"/>
      <c r="AQ32" s="305"/>
      <c r="AR32" s="305"/>
      <c r="AS32" s="305"/>
      <c r="AT32" s="306"/>
      <c r="AU32" s="10"/>
    </row>
    <row r="33" spans="4:47" ht="3" customHeight="1"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</row>
    <row r="34" spans="4:47">
      <c r="D34" s="10"/>
      <c r="E34" s="299">
        <v>4</v>
      </c>
      <c r="F34" s="10"/>
      <c r="G34" s="281" t="s">
        <v>488</v>
      </c>
      <c r="H34" s="281"/>
      <c r="I34" s="281"/>
      <c r="J34" s="281"/>
      <c r="K34" s="281"/>
      <c r="L34" s="281"/>
      <c r="M34" s="281"/>
      <c r="N34" s="281"/>
      <c r="O34" s="281"/>
      <c r="P34" s="281"/>
      <c r="Q34" s="281"/>
      <c r="R34" s="281"/>
      <c r="S34" s="281"/>
      <c r="T34" s="281"/>
      <c r="U34" s="281"/>
      <c r="V34" s="281"/>
      <c r="W34" s="281"/>
      <c r="X34" s="281"/>
      <c r="Y34" s="281"/>
      <c r="Z34" s="281"/>
      <c r="AA34" s="281"/>
      <c r="AB34" s="281"/>
      <c r="AC34" s="10"/>
      <c r="AD34" s="10"/>
      <c r="AE34" s="10"/>
      <c r="AF34" s="10"/>
      <c r="AG34" s="10"/>
      <c r="AH34" s="10"/>
      <c r="AI34" s="10"/>
      <c r="AJ34" s="10"/>
      <c r="AK34" s="10"/>
      <c r="AL34" s="301"/>
      <c r="AM34" s="302"/>
      <c r="AN34" s="302"/>
      <c r="AO34" s="302"/>
      <c r="AP34" s="302"/>
      <c r="AQ34" s="302"/>
      <c r="AR34" s="302"/>
      <c r="AS34" s="302"/>
      <c r="AT34" s="303"/>
      <c r="AU34" s="10"/>
    </row>
    <row r="35" spans="4:47">
      <c r="D35" s="10"/>
      <c r="E35" s="300"/>
      <c r="F35" s="10"/>
      <c r="G35" s="281"/>
      <c r="H35" s="281"/>
      <c r="I35" s="281"/>
      <c r="J35" s="281"/>
      <c r="K35" s="281"/>
      <c r="L35" s="281"/>
      <c r="M35" s="281"/>
      <c r="N35" s="281"/>
      <c r="O35" s="281"/>
      <c r="P35" s="281"/>
      <c r="Q35" s="281"/>
      <c r="R35" s="281"/>
      <c r="S35" s="281"/>
      <c r="T35" s="281"/>
      <c r="U35" s="281"/>
      <c r="V35" s="281"/>
      <c r="W35" s="281"/>
      <c r="X35" s="281"/>
      <c r="Y35" s="281"/>
      <c r="Z35" s="281"/>
      <c r="AA35" s="281"/>
      <c r="AB35" s="281"/>
      <c r="AC35" s="10"/>
      <c r="AD35" s="10"/>
      <c r="AE35" s="51" t="s">
        <v>67</v>
      </c>
      <c r="AF35" s="48" t="s">
        <v>489</v>
      </c>
      <c r="AG35" s="51" t="s">
        <v>490</v>
      </c>
      <c r="AH35" s="48" t="s">
        <v>491</v>
      </c>
      <c r="AI35" s="51" t="s">
        <v>69</v>
      </c>
      <c r="AJ35" s="10"/>
      <c r="AK35" s="10"/>
      <c r="AL35" s="304"/>
      <c r="AM35" s="305"/>
      <c r="AN35" s="305"/>
      <c r="AO35" s="305"/>
      <c r="AP35" s="305"/>
      <c r="AQ35" s="305"/>
      <c r="AR35" s="305"/>
      <c r="AS35" s="305"/>
      <c r="AT35" s="306"/>
      <c r="AU35" s="10"/>
    </row>
    <row r="36" spans="4:47" ht="3" customHeight="1"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</row>
    <row r="37" spans="4:47"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2" t="s">
        <v>492</v>
      </c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</row>
    <row r="38" spans="4:47"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</row>
    <row r="40" spans="4:47">
      <c r="D40" s="1" t="s">
        <v>493</v>
      </c>
    </row>
    <row r="41" spans="4:47">
      <c r="D41" s="50" t="s">
        <v>455</v>
      </c>
      <c r="E41" s="36" t="s">
        <v>494</v>
      </c>
    </row>
    <row r="42" spans="4:47">
      <c r="D42" s="50" t="s">
        <v>495</v>
      </c>
      <c r="E42" s="298" t="s">
        <v>496</v>
      </c>
      <c r="F42" s="298"/>
      <c r="G42" s="298"/>
      <c r="H42" s="298"/>
      <c r="I42" s="298"/>
      <c r="J42" s="298"/>
      <c r="K42" s="298"/>
      <c r="L42" s="298"/>
      <c r="M42" s="298"/>
      <c r="N42" s="298"/>
      <c r="O42" s="298"/>
      <c r="P42" s="298"/>
      <c r="Q42" s="298"/>
      <c r="R42" s="298"/>
      <c r="S42" s="298"/>
      <c r="T42" s="298"/>
      <c r="U42" s="298"/>
      <c r="V42" s="298"/>
      <c r="W42" s="298"/>
      <c r="X42" s="298"/>
      <c r="Y42" s="298"/>
      <c r="Z42" s="298"/>
      <c r="AA42" s="298"/>
      <c r="AB42" s="298"/>
      <c r="AC42" s="298"/>
      <c r="AD42" s="298"/>
      <c r="AE42" s="298"/>
      <c r="AF42" s="298"/>
      <c r="AG42" s="298"/>
      <c r="AH42" s="298"/>
      <c r="AI42" s="298"/>
      <c r="AJ42" s="298"/>
      <c r="AK42" s="298"/>
      <c r="AL42" s="298"/>
      <c r="AM42" s="298"/>
      <c r="AN42" s="298"/>
      <c r="AO42" s="298"/>
      <c r="AP42" s="298"/>
      <c r="AQ42" s="298"/>
      <c r="AR42" s="298"/>
      <c r="AS42" s="298"/>
      <c r="AT42" s="298"/>
      <c r="AU42" s="298"/>
    </row>
    <row r="43" spans="4:47">
      <c r="E43" s="298"/>
      <c r="F43" s="298"/>
      <c r="G43" s="298"/>
      <c r="H43" s="298"/>
      <c r="I43" s="298"/>
      <c r="J43" s="298"/>
      <c r="K43" s="298"/>
      <c r="L43" s="298"/>
      <c r="M43" s="298"/>
      <c r="N43" s="298"/>
      <c r="O43" s="298"/>
      <c r="P43" s="298"/>
      <c r="Q43" s="298"/>
      <c r="R43" s="298"/>
      <c r="S43" s="298"/>
      <c r="T43" s="298"/>
      <c r="U43" s="298"/>
      <c r="V43" s="298"/>
      <c r="W43" s="298"/>
      <c r="X43" s="298"/>
      <c r="Y43" s="298"/>
      <c r="Z43" s="298"/>
      <c r="AA43" s="298"/>
      <c r="AB43" s="298"/>
      <c r="AC43" s="298"/>
      <c r="AD43" s="298"/>
      <c r="AE43" s="298"/>
      <c r="AF43" s="298"/>
      <c r="AG43" s="298"/>
      <c r="AH43" s="298"/>
      <c r="AI43" s="298"/>
      <c r="AJ43" s="298"/>
      <c r="AK43" s="298"/>
      <c r="AL43" s="298"/>
      <c r="AM43" s="298"/>
      <c r="AN43" s="298"/>
      <c r="AO43" s="298"/>
      <c r="AP43" s="298"/>
      <c r="AQ43" s="298"/>
      <c r="AR43" s="298"/>
      <c r="AS43" s="298"/>
      <c r="AT43" s="298"/>
      <c r="AU43" s="298"/>
    </row>
    <row r="45" spans="4:47">
      <c r="AP45" s="131" t="s">
        <v>364</v>
      </c>
      <c r="AQ45" s="131"/>
      <c r="AR45" s="131"/>
    </row>
    <row r="46" spans="4:47">
      <c r="AP46" s="131"/>
      <c r="AQ46" s="131"/>
      <c r="AR46" s="131"/>
    </row>
  </sheetData>
  <mergeCells count="15">
    <mergeCell ref="E42:AU43"/>
    <mergeCell ref="AP45:AR46"/>
    <mergeCell ref="AM7:AU7"/>
    <mergeCell ref="AL15:AT15"/>
    <mergeCell ref="E34:E35"/>
    <mergeCell ref="D5:L12"/>
    <mergeCell ref="G34:AB35"/>
    <mergeCell ref="AM3:AU5"/>
    <mergeCell ref="O8:AK9"/>
    <mergeCell ref="AL17:AT18"/>
    <mergeCell ref="AL21:AT22"/>
    <mergeCell ref="AL24:AT25"/>
    <mergeCell ref="AL28:AT29"/>
    <mergeCell ref="AL31:AT32"/>
    <mergeCell ref="AL34:AT35"/>
  </mergeCells>
  <hyperlinks>
    <hyperlink ref="AP45:AR46" location="INDUK1!A1" display="HOME" xr:uid="{00000000-0004-0000-0B00-000000000000}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D3:BD1048576"/>
  <sheetViews>
    <sheetView topLeftCell="J1" workbookViewId="0">
      <selection activeCell="D3" sqref="D3:BD70"/>
    </sheetView>
  </sheetViews>
  <sheetFormatPr defaultColWidth="9.1796875" defaultRowHeight="11.5"/>
  <cols>
    <col min="1" max="2" width="9.1796875" style="1"/>
    <col min="3" max="75" width="3.453125" style="1" customWidth="1"/>
    <col min="76" max="16384" width="9.1796875" style="1"/>
  </cols>
  <sheetData>
    <row r="3" spans="4:56" ht="15.5">
      <c r="D3" s="3"/>
      <c r="E3" s="4"/>
      <c r="F3" s="4"/>
      <c r="G3" s="4"/>
      <c r="H3" s="4"/>
      <c r="I3" s="4"/>
      <c r="J3" s="4"/>
      <c r="K3" s="4"/>
      <c r="L3" s="17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92" t="s">
        <v>497</v>
      </c>
      <c r="AV3" s="192"/>
      <c r="AW3" s="192"/>
      <c r="AX3" s="192"/>
      <c r="AY3" s="192"/>
      <c r="AZ3" s="192"/>
      <c r="BA3" s="192"/>
      <c r="BB3" s="192"/>
      <c r="BC3" s="192"/>
      <c r="BD3" s="193"/>
    </row>
    <row r="4" spans="4:56" ht="18">
      <c r="D4" s="5" t="s">
        <v>184</v>
      </c>
      <c r="E4" s="6"/>
      <c r="F4" s="6"/>
      <c r="G4" s="6"/>
      <c r="H4" s="6"/>
      <c r="I4" s="6"/>
      <c r="J4" s="6"/>
      <c r="K4" s="6"/>
      <c r="L4" s="19"/>
      <c r="M4" s="20"/>
      <c r="N4" s="20"/>
      <c r="O4" s="20"/>
      <c r="P4" s="20"/>
      <c r="Q4" s="20"/>
      <c r="R4" s="20"/>
      <c r="S4" s="20"/>
      <c r="T4" s="21" t="s">
        <v>1</v>
      </c>
      <c r="U4" s="20"/>
      <c r="V4" s="20"/>
      <c r="W4" s="20"/>
      <c r="X4" s="20"/>
      <c r="Y4" s="20"/>
      <c r="Z4" s="20"/>
      <c r="AA4" s="20"/>
      <c r="AB4" s="20"/>
      <c r="AC4" s="20"/>
      <c r="AD4" s="20"/>
      <c r="AE4" s="29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194"/>
      <c r="AV4" s="194"/>
      <c r="AW4" s="194"/>
      <c r="AX4" s="194"/>
      <c r="AY4" s="194"/>
      <c r="AZ4" s="194"/>
      <c r="BA4" s="194"/>
      <c r="BB4" s="194"/>
      <c r="BC4" s="194"/>
      <c r="BD4" s="195"/>
    </row>
    <row r="5" spans="4:56" ht="14">
      <c r="D5" s="227" t="s">
        <v>498</v>
      </c>
      <c r="E5" s="228"/>
      <c r="F5" s="228"/>
      <c r="G5" s="228"/>
      <c r="H5" s="228"/>
      <c r="I5" s="228"/>
      <c r="J5" s="228"/>
      <c r="K5" s="228"/>
      <c r="L5" s="228"/>
      <c r="M5" s="20"/>
      <c r="N5" s="20"/>
      <c r="O5" s="20"/>
      <c r="P5" s="20"/>
      <c r="Q5" s="20"/>
      <c r="R5" s="20"/>
      <c r="S5" s="20"/>
      <c r="T5" s="22" t="s">
        <v>185</v>
      </c>
      <c r="U5" s="20"/>
      <c r="V5" s="20"/>
      <c r="W5" s="20"/>
      <c r="X5" s="20"/>
      <c r="Y5" s="20"/>
      <c r="Z5" s="20"/>
      <c r="AA5" s="20"/>
      <c r="AB5" s="20"/>
      <c r="AC5" s="20"/>
      <c r="AD5" s="20"/>
      <c r="AE5" s="29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194"/>
      <c r="AV5" s="194"/>
      <c r="AW5" s="194"/>
      <c r="AX5" s="194"/>
      <c r="AY5" s="194"/>
      <c r="AZ5" s="194"/>
      <c r="BA5" s="194"/>
      <c r="BB5" s="194"/>
      <c r="BC5" s="194"/>
      <c r="BD5" s="195"/>
    </row>
    <row r="6" spans="4:56" ht="3" customHeight="1">
      <c r="D6" s="227"/>
      <c r="E6" s="228"/>
      <c r="F6" s="228"/>
      <c r="G6" s="228"/>
      <c r="H6" s="228"/>
      <c r="I6" s="228"/>
      <c r="J6" s="228"/>
      <c r="K6" s="228"/>
      <c r="L6" s="228"/>
      <c r="M6" s="20"/>
      <c r="N6" s="20"/>
      <c r="O6" s="20"/>
      <c r="P6" s="20"/>
      <c r="Q6" s="20"/>
      <c r="R6" s="20"/>
      <c r="S6" s="20"/>
      <c r="T6" s="23"/>
      <c r="U6" s="20"/>
      <c r="V6" s="20"/>
      <c r="W6" s="20"/>
      <c r="X6" s="20"/>
      <c r="Y6" s="20"/>
      <c r="Z6" s="20"/>
      <c r="AA6" s="20"/>
      <c r="AB6" s="20"/>
      <c r="AC6" s="20"/>
      <c r="AD6" s="20"/>
      <c r="AE6" s="29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30"/>
      <c r="AX6" s="30"/>
      <c r="AY6" s="30"/>
      <c r="AZ6" s="30"/>
      <c r="BA6" s="30"/>
      <c r="BB6" s="30"/>
      <c r="BC6" s="30"/>
      <c r="BD6" s="31"/>
    </row>
    <row r="7" spans="4:56">
      <c r="D7" s="227"/>
      <c r="E7" s="228"/>
      <c r="F7" s="228"/>
      <c r="G7" s="228"/>
      <c r="H7" s="228"/>
      <c r="I7" s="228"/>
      <c r="J7" s="228"/>
      <c r="K7" s="228"/>
      <c r="L7" s="228"/>
      <c r="M7" s="20"/>
      <c r="N7" s="20"/>
      <c r="O7" s="20"/>
      <c r="P7" s="20"/>
      <c r="Q7" s="20"/>
      <c r="R7" s="20"/>
      <c r="S7" s="20"/>
      <c r="T7" s="23" t="s">
        <v>8</v>
      </c>
      <c r="U7" s="20"/>
      <c r="V7" s="20"/>
      <c r="W7" s="20"/>
      <c r="X7" s="20"/>
      <c r="Y7" s="20"/>
      <c r="Z7" s="20"/>
      <c r="AA7" s="20"/>
      <c r="AB7" s="20"/>
      <c r="AC7" s="20"/>
      <c r="AD7" s="20"/>
      <c r="AE7" s="29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186" t="s">
        <v>188</v>
      </c>
      <c r="AV7" s="186"/>
      <c r="AW7" s="186"/>
      <c r="AX7" s="186"/>
      <c r="AY7" s="186"/>
      <c r="AZ7" s="186"/>
      <c r="BA7" s="186"/>
      <c r="BB7" s="186"/>
      <c r="BC7" s="186"/>
      <c r="BD7" s="187"/>
    </row>
    <row r="8" spans="4:56" ht="14">
      <c r="D8" s="227"/>
      <c r="E8" s="228"/>
      <c r="F8" s="228"/>
      <c r="G8" s="228"/>
      <c r="H8" s="228"/>
      <c r="I8" s="228"/>
      <c r="J8" s="228"/>
      <c r="K8" s="228"/>
      <c r="L8" s="228"/>
      <c r="M8" s="20"/>
      <c r="N8" s="20"/>
      <c r="O8" s="20"/>
      <c r="P8" s="20"/>
      <c r="Q8" s="20"/>
      <c r="R8" s="20"/>
      <c r="S8" s="20"/>
      <c r="T8" s="47" t="s">
        <v>499</v>
      </c>
      <c r="U8" s="23"/>
      <c r="V8" s="20"/>
      <c r="W8" s="20"/>
      <c r="X8" s="20"/>
      <c r="Y8" s="20"/>
      <c r="Z8" s="20"/>
      <c r="AA8" s="20"/>
      <c r="AB8" s="20"/>
      <c r="AC8" s="20"/>
      <c r="AD8" s="20"/>
      <c r="AE8" s="29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30"/>
      <c r="AX8" s="28">
        <f>INDUK1!E14</f>
        <v>2</v>
      </c>
      <c r="AY8" s="28">
        <f>INDUK1!G14</f>
        <v>0</v>
      </c>
      <c r="AZ8" s="28">
        <f>INDUK1!I14</f>
        <v>2</v>
      </c>
      <c r="BA8" s="28">
        <f>INDUK1!K14</f>
        <v>5</v>
      </c>
      <c r="BB8" s="30"/>
      <c r="BC8" s="30"/>
      <c r="BD8" s="31"/>
    </row>
    <row r="9" spans="4:56" ht="3" customHeight="1">
      <c r="D9" s="227"/>
      <c r="E9" s="228"/>
      <c r="F9" s="228"/>
      <c r="G9" s="228"/>
      <c r="H9" s="228"/>
      <c r="I9" s="228"/>
      <c r="J9" s="228"/>
      <c r="K9" s="228"/>
      <c r="L9" s="228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9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30"/>
      <c r="AX9" s="30"/>
      <c r="AY9" s="30"/>
      <c r="AZ9" s="30"/>
      <c r="BA9" s="30"/>
      <c r="BB9" s="30"/>
      <c r="BC9" s="30"/>
      <c r="BD9" s="31"/>
    </row>
    <row r="10" spans="4:56" ht="14">
      <c r="D10" s="227"/>
      <c r="E10" s="228"/>
      <c r="F10" s="228"/>
      <c r="G10" s="228"/>
      <c r="H10" s="228"/>
      <c r="I10" s="228"/>
      <c r="J10" s="228"/>
      <c r="K10" s="228"/>
      <c r="L10" s="228"/>
      <c r="M10" s="20"/>
      <c r="N10" s="20"/>
      <c r="O10" s="20"/>
      <c r="P10" s="20"/>
      <c r="Q10" s="20"/>
      <c r="R10" s="20"/>
      <c r="S10" s="20"/>
      <c r="T10" s="25"/>
      <c r="U10" s="25" t="s">
        <v>28</v>
      </c>
      <c r="V10" s="20"/>
      <c r="W10" s="20"/>
      <c r="X10" s="28">
        <f>INDUK1!AF21</f>
        <v>0</v>
      </c>
      <c r="Y10" s="28">
        <f>INDUK1!AG21</f>
        <v>0</v>
      </c>
      <c r="Z10" s="28">
        <f>INDUK1!AH21</f>
        <v>0</v>
      </c>
      <c r="AA10" s="28">
        <f>INDUK1!AI21</f>
        <v>0</v>
      </c>
      <c r="AB10" s="28">
        <f>INDUK1!AJ21</f>
        <v>0</v>
      </c>
      <c r="AC10" s="28">
        <f>INDUK1!AK21</f>
        <v>0</v>
      </c>
      <c r="AD10" s="28">
        <f>INDUK1!AL21</f>
        <v>0</v>
      </c>
      <c r="AE10" s="28">
        <f>INDUK1!AM21</f>
        <v>0</v>
      </c>
      <c r="AF10" s="28">
        <f>INDUK1!AN21</f>
        <v>0</v>
      </c>
      <c r="AG10" s="28">
        <f>INDUK1!AO21</f>
        <v>0</v>
      </c>
      <c r="AH10" s="28">
        <f>INDUK1!AP21</f>
        <v>0</v>
      </c>
      <c r="AI10" s="28">
        <f>INDUK1!AQ21</f>
        <v>0</v>
      </c>
      <c r="AJ10" s="28">
        <f>INDUK1!AR21</f>
        <v>0</v>
      </c>
      <c r="AK10" s="28">
        <f>INDUK1!AS21</f>
        <v>0</v>
      </c>
      <c r="AL10" s="28">
        <f>INDUK1!AT21</f>
        <v>0</v>
      </c>
      <c r="AM10" s="28">
        <f>INDUK1!AU21</f>
        <v>0</v>
      </c>
      <c r="AN10" s="20"/>
      <c r="AO10" s="20"/>
      <c r="AP10" s="20"/>
      <c r="AQ10" s="20"/>
      <c r="AR10" s="20"/>
      <c r="AS10" s="20"/>
      <c r="AT10" s="20"/>
      <c r="AU10" s="20"/>
      <c r="AV10" s="20"/>
      <c r="AW10" s="30"/>
      <c r="AX10" s="30"/>
      <c r="AY10" s="30"/>
      <c r="AZ10" s="30"/>
      <c r="BA10" s="30"/>
      <c r="BB10" s="30"/>
      <c r="BC10" s="30"/>
      <c r="BD10" s="31"/>
    </row>
    <row r="11" spans="4:56">
      <c r="D11" s="229"/>
      <c r="E11" s="230"/>
      <c r="F11" s="230"/>
      <c r="G11" s="230"/>
      <c r="H11" s="230"/>
      <c r="I11" s="230"/>
      <c r="J11" s="230"/>
      <c r="K11" s="230"/>
      <c r="L11" s="230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32"/>
    </row>
    <row r="12" spans="4:56" ht="3" customHeight="1"/>
    <row r="13" spans="4:56">
      <c r="D13" s="132" t="s">
        <v>500</v>
      </c>
      <c r="E13" s="132"/>
      <c r="F13" s="132"/>
      <c r="G13" s="163" t="s">
        <v>501</v>
      </c>
      <c r="H13" s="151"/>
      <c r="I13" s="151"/>
      <c r="J13" s="151"/>
      <c r="K13" s="151"/>
      <c r="L13" s="151"/>
      <c r="M13" s="151"/>
      <c r="N13" s="151"/>
      <c r="O13" s="151"/>
      <c r="P13" s="151"/>
      <c r="Q13" s="151"/>
      <c r="R13" s="310"/>
      <c r="S13" s="132" t="s">
        <v>502</v>
      </c>
      <c r="T13" s="132"/>
      <c r="U13" s="132"/>
      <c r="V13" s="132"/>
      <c r="W13" s="151" t="s">
        <v>503</v>
      </c>
      <c r="X13" s="151"/>
      <c r="Y13" s="151"/>
      <c r="Z13" s="151"/>
      <c r="AA13" s="151"/>
      <c r="AB13" s="132" t="s">
        <v>504</v>
      </c>
      <c r="AC13" s="132"/>
      <c r="AD13" s="132"/>
      <c r="AE13" s="132"/>
      <c r="AF13" s="132"/>
      <c r="AG13" s="132" t="s">
        <v>505</v>
      </c>
      <c r="AH13" s="132"/>
      <c r="AI13" s="132"/>
      <c r="AJ13" s="132"/>
      <c r="AK13" s="132"/>
      <c r="AL13" s="132"/>
      <c r="AM13" s="132" t="s">
        <v>506</v>
      </c>
      <c r="AN13" s="132"/>
      <c r="AO13" s="132"/>
      <c r="AP13" s="132"/>
      <c r="AQ13" s="132"/>
      <c r="AR13" s="132"/>
      <c r="AS13" s="151" t="s">
        <v>507</v>
      </c>
      <c r="AT13" s="151"/>
      <c r="AU13" s="151"/>
      <c r="AV13" s="151"/>
      <c r="AW13" s="151"/>
      <c r="AX13" s="151"/>
      <c r="AY13" s="151"/>
      <c r="AZ13" s="151"/>
      <c r="BA13" s="151"/>
      <c r="BB13" s="151"/>
      <c r="BC13" s="151"/>
      <c r="BD13" s="151"/>
    </row>
    <row r="14" spans="4:56">
      <c r="D14" s="132"/>
      <c r="E14" s="132"/>
      <c r="F14" s="132"/>
      <c r="G14" s="163"/>
      <c r="H14" s="151"/>
      <c r="I14" s="151"/>
      <c r="J14" s="151"/>
      <c r="K14" s="151"/>
      <c r="L14" s="151"/>
      <c r="M14" s="151"/>
      <c r="N14" s="151"/>
      <c r="O14" s="151"/>
      <c r="P14" s="151"/>
      <c r="Q14" s="151"/>
      <c r="R14" s="310"/>
      <c r="S14" s="132"/>
      <c r="T14" s="132"/>
      <c r="U14" s="132"/>
      <c r="V14" s="132"/>
      <c r="W14" s="151"/>
      <c r="X14" s="151"/>
      <c r="Y14" s="151"/>
      <c r="Z14" s="151"/>
      <c r="AA14" s="151"/>
      <c r="AB14" s="132"/>
      <c r="AC14" s="132"/>
      <c r="AD14" s="132"/>
      <c r="AE14" s="132"/>
      <c r="AF14" s="132"/>
      <c r="AG14" s="132"/>
      <c r="AH14" s="132"/>
      <c r="AI14" s="132"/>
      <c r="AJ14" s="132"/>
      <c r="AK14" s="132"/>
      <c r="AL14" s="132"/>
      <c r="AM14" s="164"/>
      <c r="AN14" s="164"/>
      <c r="AO14" s="164"/>
      <c r="AP14" s="164"/>
      <c r="AQ14" s="164"/>
      <c r="AR14" s="164"/>
      <c r="AS14" s="151"/>
      <c r="AT14" s="151"/>
      <c r="AU14" s="151"/>
      <c r="AV14" s="151"/>
      <c r="AW14" s="151"/>
      <c r="AX14" s="151"/>
      <c r="AY14" s="151"/>
      <c r="AZ14" s="151"/>
      <c r="BA14" s="151"/>
      <c r="BB14" s="151"/>
      <c r="BC14" s="151"/>
      <c r="BD14" s="151"/>
    </row>
    <row r="15" spans="4:56">
      <c r="D15" s="132"/>
      <c r="E15" s="132"/>
      <c r="F15" s="132"/>
      <c r="G15" s="163"/>
      <c r="H15" s="151"/>
      <c r="I15" s="151"/>
      <c r="J15" s="151"/>
      <c r="K15" s="151"/>
      <c r="L15" s="151"/>
      <c r="M15" s="151"/>
      <c r="N15" s="151"/>
      <c r="O15" s="151"/>
      <c r="P15" s="151"/>
      <c r="Q15" s="151"/>
      <c r="R15" s="310"/>
      <c r="S15" s="132"/>
      <c r="T15" s="132"/>
      <c r="U15" s="132"/>
      <c r="V15" s="132"/>
      <c r="W15" s="151"/>
      <c r="X15" s="151"/>
      <c r="Y15" s="151"/>
      <c r="Z15" s="151"/>
      <c r="AA15" s="151"/>
      <c r="AB15" s="132"/>
      <c r="AC15" s="132"/>
      <c r="AD15" s="132"/>
      <c r="AE15" s="132"/>
      <c r="AF15" s="132"/>
      <c r="AG15" s="161" t="s">
        <v>508</v>
      </c>
      <c r="AH15" s="161"/>
      <c r="AI15" s="161"/>
      <c r="AJ15" s="161" t="s">
        <v>509</v>
      </c>
      <c r="AK15" s="161"/>
      <c r="AL15" s="161"/>
      <c r="AM15" s="159" t="s">
        <v>353</v>
      </c>
      <c r="AN15" s="159"/>
      <c r="AO15" s="159"/>
      <c r="AP15" s="159"/>
      <c r="AQ15" s="159"/>
      <c r="AR15" s="159"/>
      <c r="AS15" s="151"/>
      <c r="AT15" s="151"/>
      <c r="AU15" s="151"/>
      <c r="AV15" s="151"/>
      <c r="AW15" s="151"/>
      <c r="AX15" s="151"/>
      <c r="AY15" s="151"/>
      <c r="AZ15" s="151"/>
      <c r="BA15" s="151"/>
      <c r="BB15" s="151"/>
      <c r="BC15" s="151"/>
      <c r="BD15" s="151"/>
    </row>
    <row r="16" spans="4:56">
      <c r="D16" s="162" t="s">
        <v>201</v>
      </c>
      <c r="E16" s="161"/>
      <c r="F16" s="161"/>
      <c r="G16" s="160" t="s">
        <v>202</v>
      </c>
      <c r="H16" s="161"/>
      <c r="I16" s="161"/>
      <c r="J16" s="161"/>
      <c r="K16" s="161"/>
      <c r="L16" s="161"/>
      <c r="M16" s="161"/>
      <c r="N16" s="161"/>
      <c r="O16" s="161"/>
      <c r="P16" s="161"/>
      <c r="Q16" s="161"/>
      <c r="R16" s="292"/>
      <c r="S16" s="162" t="s">
        <v>203</v>
      </c>
      <c r="T16" s="161"/>
      <c r="U16" s="161"/>
      <c r="V16" s="161"/>
      <c r="W16" s="162" t="s">
        <v>204</v>
      </c>
      <c r="X16" s="161"/>
      <c r="Y16" s="161"/>
      <c r="Z16" s="161"/>
      <c r="AA16" s="161"/>
      <c r="AB16" s="162" t="s">
        <v>205</v>
      </c>
      <c r="AC16" s="161"/>
      <c r="AD16" s="161"/>
      <c r="AE16" s="161"/>
      <c r="AF16" s="161"/>
      <c r="AG16" s="162" t="s">
        <v>354</v>
      </c>
      <c r="AH16" s="161"/>
      <c r="AI16" s="161"/>
      <c r="AJ16" s="162" t="s">
        <v>207</v>
      </c>
      <c r="AK16" s="161"/>
      <c r="AL16" s="161"/>
      <c r="AM16" s="162" t="s">
        <v>208</v>
      </c>
      <c r="AN16" s="161"/>
      <c r="AO16" s="161"/>
      <c r="AP16" s="161"/>
      <c r="AQ16" s="161"/>
      <c r="AR16" s="161"/>
      <c r="AS16" s="162" t="s">
        <v>209</v>
      </c>
      <c r="AT16" s="161"/>
      <c r="AU16" s="161"/>
      <c r="AV16" s="161"/>
      <c r="AW16" s="161"/>
      <c r="AX16" s="161"/>
      <c r="AY16" s="161"/>
      <c r="AZ16" s="161"/>
      <c r="BA16" s="161"/>
      <c r="BB16" s="161"/>
      <c r="BC16" s="161"/>
      <c r="BD16" s="161"/>
    </row>
    <row r="17" spans="4:56">
      <c r="D17" s="316"/>
      <c r="E17" s="239"/>
      <c r="F17" s="317"/>
      <c r="G17" s="1" t="s">
        <v>151</v>
      </c>
      <c r="H17" s="36" t="s">
        <v>510</v>
      </c>
      <c r="S17" s="318"/>
      <c r="T17" s="318"/>
      <c r="U17" s="318"/>
      <c r="V17" s="318"/>
      <c r="W17" s="319"/>
      <c r="X17" s="319"/>
      <c r="Y17" s="319"/>
      <c r="Z17" s="319"/>
      <c r="AA17" s="319"/>
      <c r="AB17" s="319"/>
      <c r="AC17" s="319"/>
      <c r="AD17" s="319"/>
      <c r="AE17" s="319"/>
      <c r="AF17" s="319"/>
      <c r="AG17" s="318"/>
      <c r="AH17" s="318"/>
      <c r="AI17" s="318"/>
      <c r="AJ17" s="318"/>
      <c r="AK17" s="318"/>
      <c r="AL17" s="318"/>
      <c r="AM17" s="319"/>
      <c r="AN17" s="319"/>
      <c r="AO17" s="319"/>
      <c r="AP17" s="319"/>
      <c r="AQ17" s="319"/>
      <c r="AR17" s="319"/>
      <c r="AS17" s="318"/>
      <c r="AT17" s="318"/>
      <c r="AU17" s="318"/>
      <c r="AV17" s="318"/>
      <c r="AW17" s="318"/>
      <c r="AX17" s="318"/>
      <c r="AY17" s="318"/>
      <c r="AZ17" s="318"/>
      <c r="BA17" s="318"/>
      <c r="BB17" s="318"/>
      <c r="BC17" s="318"/>
      <c r="BD17" s="318"/>
    </row>
    <row r="18" spans="4:56">
      <c r="D18" s="316"/>
      <c r="E18" s="239"/>
      <c r="F18" s="317"/>
      <c r="H18" s="1" t="s">
        <v>25</v>
      </c>
      <c r="I18" s="1" t="s">
        <v>511</v>
      </c>
      <c r="S18" s="318"/>
      <c r="T18" s="318"/>
      <c r="U18" s="318"/>
      <c r="V18" s="318"/>
      <c r="W18" s="319"/>
      <c r="X18" s="319"/>
      <c r="Y18" s="319"/>
      <c r="Z18" s="319"/>
      <c r="AA18" s="319"/>
      <c r="AB18" s="319"/>
      <c r="AC18" s="319"/>
      <c r="AD18" s="319"/>
      <c r="AE18" s="319"/>
      <c r="AF18" s="319"/>
      <c r="AG18" s="318"/>
      <c r="AH18" s="318"/>
      <c r="AI18" s="318"/>
      <c r="AJ18" s="318"/>
      <c r="AK18" s="318"/>
      <c r="AL18" s="318"/>
      <c r="AM18" s="319"/>
      <c r="AN18" s="319"/>
      <c r="AO18" s="319"/>
      <c r="AP18" s="319"/>
      <c r="AQ18" s="319"/>
      <c r="AR18" s="319"/>
      <c r="AS18" s="318"/>
      <c r="AT18" s="318"/>
      <c r="AU18" s="318"/>
      <c r="AV18" s="318"/>
      <c r="AW18" s="318"/>
      <c r="AX18" s="318"/>
      <c r="AY18" s="318"/>
      <c r="AZ18" s="318"/>
      <c r="BA18" s="318"/>
      <c r="BB18" s="318"/>
      <c r="BC18" s="318"/>
      <c r="BD18" s="318"/>
    </row>
    <row r="19" spans="4:56">
      <c r="D19" s="316"/>
      <c r="E19" s="239"/>
      <c r="F19" s="317"/>
      <c r="I19" s="1" t="s">
        <v>27</v>
      </c>
      <c r="S19" s="318"/>
      <c r="T19" s="318"/>
      <c r="U19" s="318"/>
      <c r="V19" s="318"/>
      <c r="W19" s="319"/>
      <c r="X19" s="319"/>
      <c r="Y19" s="319"/>
      <c r="Z19" s="319"/>
      <c r="AA19" s="319"/>
      <c r="AB19" s="319"/>
      <c r="AC19" s="319"/>
      <c r="AD19" s="319"/>
      <c r="AE19" s="319"/>
      <c r="AF19" s="319"/>
      <c r="AG19" s="318"/>
      <c r="AH19" s="318"/>
      <c r="AI19" s="318"/>
      <c r="AJ19" s="318"/>
      <c r="AK19" s="318"/>
      <c r="AL19" s="318"/>
      <c r="AM19" s="319"/>
      <c r="AN19" s="319"/>
      <c r="AO19" s="319"/>
      <c r="AP19" s="319"/>
      <c r="AQ19" s="319"/>
      <c r="AR19" s="319"/>
      <c r="AS19" s="318"/>
      <c r="AT19" s="318"/>
      <c r="AU19" s="318"/>
      <c r="AV19" s="318"/>
      <c r="AW19" s="318"/>
      <c r="AX19" s="318"/>
      <c r="AY19" s="318"/>
      <c r="AZ19" s="318"/>
      <c r="BA19" s="318"/>
      <c r="BB19" s="318"/>
      <c r="BC19" s="318"/>
      <c r="BD19" s="318"/>
    </row>
    <row r="20" spans="4:56">
      <c r="D20" s="316"/>
      <c r="E20" s="239"/>
      <c r="F20" s="317"/>
      <c r="I20" s="1" t="s">
        <v>29</v>
      </c>
      <c r="S20" s="318"/>
      <c r="T20" s="318"/>
      <c r="U20" s="318"/>
      <c r="V20" s="318"/>
      <c r="W20" s="319"/>
      <c r="X20" s="319"/>
      <c r="Y20" s="319"/>
      <c r="Z20" s="319"/>
      <c r="AA20" s="319"/>
      <c r="AB20" s="319"/>
      <c r="AC20" s="319"/>
      <c r="AD20" s="319"/>
      <c r="AE20" s="319"/>
      <c r="AF20" s="319"/>
      <c r="AG20" s="318"/>
      <c r="AH20" s="318"/>
      <c r="AI20" s="318"/>
      <c r="AJ20" s="318"/>
      <c r="AK20" s="318"/>
      <c r="AL20" s="318"/>
      <c r="AM20" s="319"/>
      <c r="AN20" s="319"/>
      <c r="AO20" s="319"/>
      <c r="AP20" s="319"/>
      <c r="AQ20" s="319"/>
      <c r="AR20" s="319"/>
      <c r="AS20" s="318"/>
      <c r="AT20" s="318"/>
      <c r="AU20" s="318"/>
      <c r="AV20" s="318"/>
      <c r="AW20" s="318"/>
      <c r="AX20" s="318"/>
      <c r="AY20" s="318"/>
      <c r="AZ20" s="318"/>
      <c r="BA20" s="318"/>
      <c r="BB20" s="318"/>
      <c r="BC20" s="318"/>
      <c r="BD20" s="318"/>
    </row>
    <row r="21" spans="4:56">
      <c r="D21" s="316"/>
      <c r="E21" s="239"/>
      <c r="F21" s="317"/>
      <c r="I21" s="1" t="s">
        <v>31</v>
      </c>
      <c r="S21" s="318"/>
      <c r="T21" s="318"/>
      <c r="U21" s="318"/>
      <c r="V21" s="318"/>
      <c r="W21" s="319"/>
      <c r="X21" s="319"/>
      <c r="Y21" s="319"/>
      <c r="Z21" s="319"/>
      <c r="AA21" s="319"/>
      <c r="AB21" s="319"/>
      <c r="AC21" s="319"/>
      <c r="AD21" s="319"/>
      <c r="AE21" s="319"/>
      <c r="AF21" s="319"/>
      <c r="AG21" s="318"/>
      <c r="AH21" s="318"/>
      <c r="AI21" s="318"/>
      <c r="AJ21" s="318"/>
      <c r="AK21" s="318"/>
      <c r="AL21" s="318"/>
      <c r="AM21" s="319"/>
      <c r="AN21" s="319"/>
      <c r="AO21" s="319"/>
      <c r="AP21" s="319"/>
      <c r="AQ21" s="319"/>
      <c r="AR21" s="319"/>
      <c r="AS21" s="318"/>
      <c r="AT21" s="318"/>
      <c r="AU21" s="318"/>
      <c r="AV21" s="318"/>
      <c r="AW21" s="318"/>
      <c r="AX21" s="318"/>
      <c r="AY21" s="318"/>
      <c r="AZ21" s="318"/>
      <c r="BA21" s="318"/>
      <c r="BB21" s="318"/>
      <c r="BC21" s="318"/>
      <c r="BD21" s="318"/>
    </row>
    <row r="22" spans="4:56">
      <c r="D22" s="316"/>
      <c r="E22" s="239"/>
      <c r="F22" s="317"/>
      <c r="H22" s="1" t="s">
        <v>35</v>
      </c>
      <c r="I22" s="1" t="s">
        <v>512</v>
      </c>
      <c r="S22" s="318"/>
      <c r="T22" s="318"/>
      <c r="U22" s="318"/>
      <c r="V22" s="318"/>
      <c r="W22" s="319"/>
      <c r="X22" s="319"/>
      <c r="Y22" s="319"/>
      <c r="Z22" s="319"/>
      <c r="AA22" s="319"/>
      <c r="AB22" s="319"/>
      <c r="AC22" s="319"/>
      <c r="AD22" s="319"/>
      <c r="AE22" s="319"/>
      <c r="AF22" s="319"/>
      <c r="AG22" s="318"/>
      <c r="AH22" s="318"/>
      <c r="AI22" s="318"/>
      <c r="AJ22" s="318"/>
      <c r="AK22" s="318"/>
      <c r="AL22" s="318"/>
      <c r="AM22" s="319"/>
      <c r="AN22" s="319"/>
      <c r="AO22" s="319"/>
      <c r="AP22" s="319"/>
      <c r="AQ22" s="319"/>
      <c r="AR22" s="319"/>
      <c r="AS22" s="318"/>
      <c r="AT22" s="318"/>
      <c r="AU22" s="318"/>
      <c r="AV22" s="318"/>
      <c r="AW22" s="318"/>
      <c r="AX22" s="318"/>
      <c r="AY22" s="318"/>
      <c r="AZ22" s="318"/>
      <c r="BA22" s="318"/>
      <c r="BB22" s="318"/>
      <c r="BC22" s="318"/>
      <c r="BD22" s="318"/>
    </row>
    <row r="23" spans="4:56">
      <c r="D23" s="316"/>
      <c r="E23" s="239"/>
      <c r="F23" s="317"/>
      <c r="I23" s="1" t="s">
        <v>27</v>
      </c>
      <c r="S23" s="318"/>
      <c r="T23" s="318"/>
      <c r="U23" s="318"/>
      <c r="V23" s="318"/>
      <c r="W23" s="319"/>
      <c r="X23" s="319"/>
      <c r="Y23" s="319"/>
      <c r="Z23" s="319"/>
      <c r="AA23" s="319"/>
      <c r="AB23" s="319"/>
      <c r="AC23" s="319"/>
      <c r="AD23" s="319"/>
      <c r="AE23" s="319"/>
      <c r="AF23" s="319"/>
      <c r="AG23" s="318"/>
      <c r="AH23" s="318"/>
      <c r="AI23" s="318"/>
      <c r="AJ23" s="318"/>
      <c r="AK23" s="318"/>
      <c r="AL23" s="318"/>
      <c r="AM23" s="319"/>
      <c r="AN23" s="319"/>
      <c r="AO23" s="319"/>
      <c r="AP23" s="319"/>
      <c r="AQ23" s="319"/>
      <c r="AR23" s="319"/>
      <c r="AS23" s="318"/>
      <c r="AT23" s="318"/>
      <c r="AU23" s="318"/>
      <c r="AV23" s="318"/>
      <c r="AW23" s="318"/>
      <c r="AX23" s="318"/>
      <c r="AY23" s="318"/>
      <c r="AZ23" s="318"/>
      <c r="BA23" s="318"/>
      <c r="BB23" s="318"/>
      <c r="BC23" s="318"/>
      <c r="BD23" s="318"/>
    </row>
    <row r="24" spans="4:56">
      <c r="D24" s="316"/>
      <c r="E24" s="239"/>
      <c r="F24" s="317"/>
      <c r="I24" s="1" t="s">
        <v>29</v>
      </c>
      <c r="S24" s="318"/>
      <c r="T24" s="318"/>
      <c r="U24" s="318"/>
      <c r="V24" s="318"/>
      <c r="W24" s="319"/>
      <c r="X24" s="319"/>
      <c r="Y24" s="319"/>
      <c r="Z24" s="319"/>
      <c r="AA24" s="319"/>
      <c r="AB24" s="319"/>
      <c r="AC24" s="319"/>
      <c r="AD24" s="319"/>
      <c r="AE24" s="319"/>
      <c r="AF24" s="319"/>
      <c r="AG24" s="318"/>
      <c r="AH24" s="318"/>
      <c r="AI24" s="318"/>
      <c r="AJ24" s="318"/>
      <c r="AK24" s="318"/>
      <c r="AL24" s="318"/>
      <c r="AM24" s="319"/>
      <c r="AN24" s="319"/>
      <c r="AO24" s="319"/>
      <c r="AP24" s="319"/>
      <c r="AQ24" s="319"/>
      <c r="AR24" s="319"/>
      <c r="AS24" s="318"/>
      <c r="AT24" s="318"/>
      <c r="AU24" s="318"/>
      <c r="AV24" s="318"/>
      <c r="AW24" s="318"/>
      <c r="AX24" s="318"/>
      <c r="AY24" s="318"/>
      <c r="AZ24" s="318"/>
      <c r="BA24" s="318"/>
      <c r="BB24" s="318"/>
      <c r="BC24" s="318"/>
      <c r="BD24" s="318"/>
    </row>
    <row r="25" spans="4:56">
      <c r="D25" s="316"/>
      <c r="E25" s="239"/>
      <c r="F25" s="317"/>
      <c r="I25" s="1" t="s">
        <v>31</v>
      </c>
      <c r="S25" s="318"/>
      <c r="T25" s="318"/>
      <c r="U25" s="318"/>
      <c r="V25" s="318"/>
      <c r="W25" s="319"/>
      <c r="X25" s="319"/>
      <c r="Y25" s="319"/>
      <c r="Z25" s="319"/>
      <c r="AA25" s="319"/>
      <c r="AB25" s="319"/>
      <c r="AC25" s="319"/>
      <c r="AD25" s="319"/>
      <c r="AE25" s="319"/>
      <c r="AF25" s="319"/>
      <c r="AG25" s="318"/>
      <c r="AH25" s="318"/>
      <c r="AI25" s="318"/>
      <c r="AJ25" s="318"/>
      <c r="AK25" s="318"/>
      <c r="AL25" s="318"/>
      <c r="AM25" s="319"/>
      <c r="AN25" s="319"/>
      <c r="AO25" s="319"/>
      <c r="AP25" s="319"/>
      <c r="AQ25" s="319"/>
      <c r="AR25" s="319"/>
      <c r="AS25" s="318"/>
      <c r="AT25" s="318"/>
      <c r="AU25" s="318"/>
      <c r="AV25" s="318"/>
      <c r="AW25" s="318"/>
      <c r="AX25" s="318"/>
      <c r="AY25" s="318"/>
      <c r="AZ25" s="318"/>
      <c r="BA25" s="318"/>
      <c r="BB25" s="318"/>
      <c r="BC25" s="318"/>
      <c r="BD25" s="318"/>
    </row>
    <row r="26" spans="4:56">
      <c r="D26" s="316"/>
      <c r="E26" s="239"/>
      <c r="F26" s="317"/>
      <c r="H26" s="1" t="s">
        <v>47</v>
      </c>
      <c r="I26" s="1" t="s">
        <v>513</v>
      </c>
      <c r="S26" s="318"/>
      <c r="T26" s="318"/>
      <c r="U26" s="318"/>
      <c r="V26" s="318"/>
      <c r="W26" s="319"/>
      <c r="X26" s="319"/>
      <c r="Y26" s="319"/>
      <c r="Z26" s="319"/>
      <c r="AA26" s="319"/>
      <c r="AB26" s="319"/>
      <c r="AC26" s="319"/>
      <c r="AD26" s="319"/>
      <c r="AE26" s="319"/>
      <c r="AF26" s="319"/>
      <c r="AG26" s="318"/>
      <c r="AH26" s="318"/>
      <c r="AI26" s="318"/>
      <c r="AJ26" s="318"/>
      <c r="AK26" s="318"/>
      <c r="AL26" s="318"/>
      <c r="AM26" s="319"/>
      <c r="AN26" s="319"/>
      <c r="AO26" s="319"/>
      <c r="AP26" s="319"/>
      <c r="AQ26" s="319"/>
      <c r="AR26" s="319"/>
      <c r="AS26" s="318"/>
      <c r="AT26" s="318"/>
      <c r="AU26" s="318"/>
      <c r="AV26" s="318"/>
      <c r="AW26" s="318"/>
      <c r="AX26" s="318"/>
      <c r="AY26" s="318"/>
      <c r="AZ26" s="318"/>
      <c r="BA26" s="318"/>
      <c r="BB26" s="318"/>
      <c r="BC26" s="318"/>
      <c r="BD26" s="318"/>
    </row>
    <row r="27" spans="4:56">
      <c r="D27" s="316"/>
      <c r="E27" s="239"/>
      <c r="F27" s="317"/>
      <c r="I27" s="1" t="s">
        <v>27</v>
      </c>
      <c r="S27" s="318"/>
      <c r="T27" s="318"/>
      <c r="U27" s="318"/>
      <c r="V27" s="318"/>
      <c r="W27" s="319"/>
      <c r="X27" s="319"/>
      <c r="Y27" s="319"/>
      <c r="Z27" s="319"/>
      <c r="AA27" s="319"/>
      <c r="AB27" s="319"/>
      <c r="AC27" s="319"/>
      <c r="AD27" s="319"/>
      <c r="AE27" s="319"/>
      <c r="AF27" s="319"/>
      <c r="AG27" s="318"/>
      <c r="AH27" s="318"/>
      <c r="AI27" s="318"/>
      <c r="AJ27" s="318"/>
      <c r="AK27" s="318"/>
      <c r="AL27" s="318"/>
      <c r="AM27" s="319"/>
      <c r="AN27" s="319"/>
      <c r="AO27" s="319"/>
      <c r="AP27" s="319"/>
      <c r="AQ27" s="319"/>
      <c r="AR27" s="319"/>
      <c r="AS27" s="318"/>
      <c r="AT27" s="318"/>
      <c r="AU27" s="318"/>
      <c r="AV27" s="318"/>
      <c r="AW27" s="318"/>
      <c r="AX27" s="318"/>
      <c r="AY27" s="318"/>
      <c r="AZ27" s="318"/>
      <c r="BA27" s="318"/>
      <c r="BB27" s="318"/>
      <c r="BC27" s="318"/>
      <c r="BD27" s="318"/>
    </row>
    <row r="28" spans="4:56">
      <c r="D28" s="316"/>
      <c r="E28" s="239"/>
      <c r="F28" s="317"/>
      <c r="I28" s="1" t="s">
        <v>29</v>
      </c>
      <c r="S28" s="318"/>
      <c r="T28" s="318"/>
      <c r="U28" s="318"/>
      <c r="V28" s="318"/>
      <c r="W28" s="319"/>
      <c r="X28" s="319"/>
      <c r="Y28" s="319"/>
      <c r="Z28" s="319"/>
      <c r="AA28" s="319"/>
      <c r="AB28" s="319"/>
      <c r="AC28" s="319"/>
      <c r="AD28" s="319"/>
      <c r="AE28" s="319"/>
      <c r="AF28" s="319"/>
      <c r="AG28" s="318"/>
      <c r="AH28" s="318"/>
      <c r="AI28" s="318"/>
      <c r="AJ28" s="318"/>
      <c r="AK28" s="318"/>
      <c r="AL28" s="318"/>
      <c r="AM28" s="319"/>
      <c r="AN28" s="319"/>
      <c r="AO28" s="319"/>
      <c r="AP28" s="319"/>
      <c r="AQ28" s="319"/>
      <c r="AR28" s="319"/>
      <c r="AS28" s="318"/>
      <c r="AT28" s="318"/>
      <c r="AU28" s="318"/>
      <c r="AV28" s="318"/>
      <c r="AW28" s="318"/>
      <c r="AX28" s="318"/>
      <c r="AY28" s="318"/>
      <c r="AZ28" s="318"/>
      <c r="BA28" s="318"/>
      <c r="BB28" s="318"/>
      <c r="BC28" s="318"/>
      <c r="BD28" s="318"/>
    </row>
    <row r="29" spans="4:56">
      <c r="D29" s="316"/>
      <c r="E29" s="239"/>
      <c r="F29" s="317"/>
      <c r="I29" s="1" t="s">
        <v>31</v>
      </c>
      <c r="S29" s="318"/>
      <c r="T29" s="318"/>
      <c r="U29" s="318"/>
      <c r="V29" s="318"/>
      <c r="W29" s="319"/>
      <c r="X29" s="319"/>
      <c r="Y29" s="319"/>
      <c r="Z29" s="319"/>
      <c r="AA29" s="319"/>
      <c r="AB29" s="319"/>
      <c r="AC29" s="319"/>
      <c r="AD29" s="319"/>
      <c r="AE29" s="319"/>
      <c r="AF29" s="319"/>
      <c r="AG29" s="318"/>
      <c r="AH29" s="318"/>
      <c r="AI29" s="318"/>
      <c r="AJ29" s="318"/>
      <c r="AK29" s="318"/>
      <c r="AL29" s="318"/>
      <c r="AM29" s="319"/>
      <c r="AN29" s="319"/>
      <c r="AO29" s="319"/>
      <c r="AP29" s="319"/>
      <c r="AQ29" s="319"/>
      <c r="AR29" s="319"/>
      <c r="AS29" s="318"/>
      <c r="AT29" s="318"/>
      <c r="AU29" s="318"/>
      <c r="AV29" s="318"/>
      <c r="AW29" s="318"/>
      <c r="AX29" s="318"/>
      <c r="AY29" s="318"/>
      <c r="AZ29" s="318"/>
      <c r="BA29" s="318"/>
      <c r="BB29" s="318"/>
      <c r="BC29" s="318"/>
      <c r="BD29" s="318"/>
    </row>
    <row r="30" spans="4:56">
      <c r="D30" s="316"/>
      <c r="E30" s="239"/>
      <c r="F30" s="317"/>
      <c r="H30" s="1" t="s">
        <v>58</v>
      </c>
      <c r="I30" s="1" t="s">
        <v>514</v>
      </c>
      <c r="S30" s="318"/>
      <c r="T30" s="318"/>
      <c r="U30" s="318"/>
      <c r="V30" s="318"/>
      <c r="W30" s="319"/>
      <c r="X30" s="319"/>
      <c r="Y30" s="319"/>
      <c r="Z30" s="319"/>
      <c r="AA30" s="319"/>
      <c r="AB30" s="319"/>
      <c r="AC30" s="319"/>
      <c r="AD30" s="319"/>
      <c r="AE30" s="319"/>
      <c r="AF30" s="319"/>
      <c r="AG30" s="318"/>
      <c r="AH30" s="318"/>
      <c r="AI30" s="318"/>
      <c r="AJ30" s="318"/>
      <c r="AK30" s="318"/>
      <c r="AL30" s="318"/>
      <c r="AM30" s="319"/>
      <c r="AN30" s="319"/>
      <c r="AO30" s="319"/>
      <c r="AP30" s="319"/>
      <c r="AQ30" s="319"/>
      <c r="AR30" s="319"/>
      <c r="AS30" s="318"/>
      <c r="AT30" s="318"/>
      <c r="AU30" s="318"/>
      <c r="AV30" s="318"/>
      <c r="AW30" s="318"/>
      <c r="AX30" s="318"/>
      <c r="AY30" s="318"/>
      <c r="AZ30" s="318"/>
      <c r="BA30" s="318"/>
      <c r="BB30" s="318"/>
      <c r="BC30" s="318"/>
      <c r="BD30" s="318"/>
    </row>
    <row r="31" spans="4:56">
      <c r="D31" s="316"/>
      <c r="E31" s="239"/>
      <c r="F31" s="317"/>
      <c r="I31" s="1" t="s">
        <v>27</v>
      </c>
      <c r="S31" s="318"/>
      <c r="T31" s="318"/>
      <c r="U31" s="318"/>
      <c r="V31" s="318"/>
      <c r="W31" s="319"/>
      <c r="X31" s="319"/>
      <c r="Y31" s="319"/>
      <c r="Z31" s="319"/>
      <c r="AA31" s="319"/>
      <c r="AB31" s="319"/>
      <c r="AC31" s="319"/>
      <c r="AD31" s="319"/>
      <c r="AE31" s="319"/>
      <c r="AF31" s="319"/>
      <c r="AG31" s="318"/>
      <c r="AH31" s="318"/>
      <c r="AI31" s="318"/>
      <c r="AJ31" s="318"/>
      <c r="AK31" s="318"/>
      <c r="AL31" s="318"/>
      <c r="AM31" s="319"/>
      <c r="AN31" s="319"/>
      <c r="AO31" s="319"/>
      <c r="AP31" s="319"/>
      <c r="AQ31" s="319"/>
      <c r="AR31" s="319"/>
      <c r="AS31" s="318"/>
      <c r="AT31" s="318"/>
      <c r="AU31" s="318"/>
      <c r="AV31" s="318"/>
      <c r="AW31" s="318"/>
      <c r="AX31" s="318"/>
      <c r="AY31" s="318"/>
      <c r="AZ31" s="318"/>
      <c r="BA31" s="318"/>
      <c r="BB31" s="318"/>
      <c r="BC31" s="318"/>
      <c r="BD31" s="318"/>
    </row>
    <row r="32" spans="4:56">
      <c r="D32" s="316"/>
      <c r="E32" s="239"/>
      <c r="F32" s="317"/>
      <c r="I32" s="1" t="s">
        <v>29</v>
      </c>
      <c r="S32" s="318"/>
      <c r="T32" s="318"/>
      <c r="U32" s="318"/>
      <c r="V32" s="318"/>
      <c r="W32" s="319"/>
      <c r="X32" s="319"/>
      <c r="Y32" s="319"/>
      <c r="Z32" s="319"/>
      <c r="AA32" s="319"/>
      <c r="AB32" s="319"/>
      <c r="AC32" s="319"/>
      <c r="AD32" s="319"/>
      <c r="AE32" s="319"/>
      <c r="AF32" s="319"/>
      <c r="AG32" s="318"/>
      <c r="AH32" s="318"/>
      <c r="AI32" s="318"/>
      <c r="AJ32" s="318"/>
      <c r="AK32" s="318"/>
      <c r="AL32" s="318"/>
      <c r="AM32" s="319"/>
      <c r="AN32" s="319"/>
      <c r="AO32" s="319"/>
      <c r="AP32" s="319"/>
      <c r="AQ32" s="319"/>
      <c r="AR32" s="319"/>
      <c r="AS32" s="318"/>
      <c r="AT32" s="318"/>
      <c r="AU32" s="318"/>
      <c r="AV32" s="318"/>
      <c r="AW32" s="318"/>
      <c r="AX32" s="318"/>
      <c r="AY32" s="318"/>
      <c r="AZ32" s="318"/>
      <c r="BA32" s="318"/>
      <c r="BB32" s="318"/>
      <c r="BC32" s="318"/>
      <c r="BD32" s="318"/>
    </row>
    <row r="33" spans="4:56">
      <c r="D33" s="316"/>
      <c r="E33" s="239"/>
      <c r="F33" s="317"/>
      <c r="I33" s="1" t="s">
        <v>31</v>
      </c>
      <c r="S33" s="318"/>
      <c r="T33" s="318"/>
      <c r="U33" s="318"/>
      <c r="V33" s="318"/>
      <c r="W33" s="319"/>
      <c r="X33" s="319"/>
      <c r="Y33" s="319"/>
      <c r="Z33" s="319"/>
      <c r="AA33" s="319"/>
      <c r="AB33" s="319"/>
      <c r="AC33" s="319"/>
      <c r="AD33" s="319"/>
      <c r="AE33" s="319"/>
      <c r="AF33" s="319"/>
      <c r="AG33" s="318"/>
      <c r="AH33" s="318"/>
      <c r="AI33" s="318"/>
      <c r="AJ33" s="318"/>
      <c r="AK33" s="318"/>
      <c r="AL33" s="318"/>
      <c r="AM33" s="319"/>
      <c r="AN33" s="319"/>
      <c r="AO33" s="319"/>
      <c r="AP33" s="319"/>
      <c r="AQ33" s="319"/>
      <c r="AR33" s="319"/>
      <c r="AS33" s="318"/>
      <c r="AT33" s="318"/>
      <c r="AU33" s="318"/>
      <c r="AV33" s="318"/>
      <c r="AW33" s="318"/>
      <c r="AX33" s="318"/>
      <c r="AY33" s="318"/>
      <c r="AZ33" s="318"/>
      <c r="BA33" s="318"/>
      <c r="BB33" s="318"/>
      <c r="BC33" s="318"/>
      <c r="BD33" s="318"/>
    </row>
    <row r="34" spans="4:56">
      <c r="D34" s="316"/>
      <c r="E34" s="239"/>
      <c r="F34" s="317"/>
      <c r="G34" s="1" t="s">
        <v>515</v>
      </c>
      <c r="H34" s="36" t="s">
        <v>516</v>
      </c>
      <c r="S34" s="318"/>
      <c r="T34" s="318"/>
      <c r="U34" s="318"/>
      <c r="V34" s="318"/>
      <c r="W34" s="319"/>
      <c r="X34" s="319"/>
      <c r="Y34" s="319"/>
      <c r="Z34" s="319"/>
      <c r="AA34" s="319"/>
      <c r="AB34" s="319"/>
      <c r="AC34" s="319"/>
      <c r="AD34" s="319"/>
      <c r="AE34" s="319"/>
      <c r="AF34" s="319"/>
      <c r="AG34" s="318"/>
      <c r="AH34" s="318"/>
      <c r="AI34" s="318"/>
      <c r="AJ34" s="318"/>
      <c r="AK34" s="318"/>
      <c r="AL34" s="318"/>
      <c r="AM34" s="319"/>
      <c r="AN34" s="319"/>
      <c r="AO34" s="319"/>
      <c r="AP34" s="319"/>
      <c r="AQ34" s="319"/>
      <c r="AR34" s="319"/>
      <c r="AS34" s="318"/>
      <c r="AT34" s="318"/>
      <c r="AU34" s="318"/>
      <c r="AV34" s="318"/>
      <c r="AW34" s="318"/>
      <c r="AX34" s="318"/>
      <c r="AY34" s="318"/>
      <c r="AZ34" s="318"/>
      <c r="BA34" s="318"/>
      <c r="BB34" s="318"/>
      <c r="BC34" s="318"/>
      <c r="BD34" s="318"/>
    </row>
    <row r="35" spans="4:56">
      <c r="D35" s="316"/>
      <c r="E35" s="239"/>
      <c r="F35" s="317"/>
      <c r="H35" s="1" t="s">
        <v>25</v>
      </c>
      <c r="I35" s="1" t="s">
        <v>517</v>
      </c>
      <c r="S35" s="318"/>
      <c r="T35" s="318"/>
      <c r="U35" s="318"/>
      <c r="V35" s="318"/>
      <c r="W35" s="319"/>
      <c r="X35" s="319"/>
      <c r="Y35" s="319"/>
      <c r="Z35" s="319"/>
      <c r="AA35" s="319"/>
      <c r="AB35" s="319"/>
      <c r="AC35" s="319"/>
      <c r="AD35" s="319"/>
      <c r="AE35" s="319"/>
      <c r="AF35" s="319"/>
      <c r="AG35" s="318"/>
      <c r="AH35" s="318"/>
      <c r="AI35" s="318"/>
      <c r="AJ35" s="318"/>
      <c r="AK35" s="318"/>
      <c r="AL35" s="318"/>
      <c r="AM35" s="319"/>
      <c r="AN35" s="319"/>
      <c r="AO35" s="319"/>
      <c r="AP35" s="319"/>
      <c r="AQ35" s="319"/>
      <c r="AR35" s="319"/>
      <c r="AS35" s="318"/>
      <c r="AT35" s="318"/>
      <c r="AU35" s="318"/>
      <c r="AV35" s="318"/>
      <c r="AW35" s="318"/>
      <c r="AX35" s="318"/>
      <c r="AY35" s="318"/>
      <c r="AZ35" s="318"/>
      <c r="BA35" s="318"/>
      <c r="BB35" s="318"/>
      <c r="BC35" s="318"/>
      <c r="BD35" s="318"/>
    </row>
    <row r="36" spans="4:56">
      <c r="D36" s="316"/>
      <c r="E36" s="239"/>
      <c r="F36" s="317"/>
      <c r="I36" s="1" t="s">
        <v>27</v>
      </c>
      <c r="S36" s="318"/>
      <c r="T36" s="318"/>
      <c r="U36" s="318"/>
      <c r="V36" s="318"/>
      <c r="W36" s="319"/>
      <c r="X36" s="319"/>
      <c r="Y36" s="319"/>
      <c r="Z36" s="319"/>
      <c r="AA36" s="319"/>
      <c r="AB36" s="319"/>
      <c r="AC36" s="319"/>
      <c r="AD36" s="319"/>
      <c r="AE36" s="319"/>
      <c r="AF36" s="319"/>
      <c r="AG36" s="318"/>
      <c r="AH36" s="318"/>
      <c r="AI36" s="318"/>
      <c r="AJ36" s="318"/>
      <c r="AK36" s="318"/>
      <c r="AL36" s="318"/>
      <c r="AM36" s="319"/>
      <c r="AN36" s="319"/>
      <c r="AO36" s="319"/>
      <c r="AP36" s="319"/>
      <c r="AQ36" s="319"/>
      <c r="AR36" s="319"/>
      <c r="AS36" s="318"/>
      <c r="AT36" s="318"/>
      <c r="AU36" s="318"/>
      <c r="AV36" s="318"/>
      <c r="AW36" s="318"/>
      <c r="AX36" s="318"/>
      <c r="AY36" s="318"/>
      <c r="AZ36" s="318"/>
      <c r="BA36" s="318"/>
      <c r="BB36" s="318"/>
      <c r="BC36" s="318"/>
      <c r="BD36" s="318"/>
    </row>
    <row r="37" spans="4:56">
      <c r="D37" s="316"/>
      <c r="E37" s="239"/>
      <c r="F37" s="317"/>
      <c r="I37" s="1" t="s">
        <v>29</v>
      </c>
      <c r="S37" s="318"/>
      <c r="T37" s="318"/>
      <c r="U37" s="318"/>
      <c r="V37" s="318"/>
      <c r="W37" s="319"/>
      <c r="X37" s="319"/>
      <c r="Y37" s="319"/>
      <c r="Z37" s="319"/>
      <c r="AA37" s="319"/>
      <c r="AB37" s="319"/>
      <c r="AC37" s="319"/>
      <c r="AD37" s="319"/>
      <c r="AE37" s="319"/>
      <c r="AF37" s="319"/>
      <c r="AG37" s="318"/>
      <c r="AH37" s="318"/>
      <c r="AI37" s="318"/>
      <c r="AJ37" s="318"/>
      <c r="AK37" s="318"/>
      <c r="AL37" s="318"/>
      <c r="AM37" s="319"/>
      <c r="AN37" s="319"/>
      <c r="AO37" s="319"/>
      <c r="AP37" s="319"/>
      <c r="AQ37" s="319"/>
      <c r="AR37" s="319"/>
      <c r="AS37" s="318"/>
      <c r="AT37" s="318"/>
      <c r="AU37" s="318"/>
      <c r="AV37" s="318"/>
      <c r="AW37" s="318"/>
      <c r="AX37" s="318"/>
      <c r="AY37" s="318"/>
      <c r="AZ37" s="318"/>
      <c r="BA37" s="318"/>
      <c r="BB37" s="318"/>
      <c r="BC37" s="318"/>
      <c r="BD37" s="318"/>
    </row>
    <row r="38" spans="4:56">
      <c r="D38" s="316"/>
      <c r="E38" s="239"/>
      <c r="F38" s="317"/>
      <c r="H38" s="1" t="s">
        <v>35</v>
      </c>
      <c r="I38" s="1" t="s">
        <v>518</v>
      </c>
      <c r="S38" s="318"/>
      <c r="T38" s="318"/>
      <c r="U38" s="318"/>
      <c r="V38" s="318"/>
      <c r="W38" s="319"/>
      <c r="X38" s="319"/>
      <c r="Y38" s="319"/>
      <c r="Z38" s="319"/>
      <c r="AA38" s="319"/>
      <c r="AB38" s="319"/>
      <c r="AC38" s="319"/>
      <c r="AD38" s="319"/>
      <c r="AE38" s="319"/>
      <c r="AF38" s="319"/>
      <c r="AG38" s="318"/>
      <c r="AH38" s="318"/>
      <c r="AI38" s="318"/>
      <c r="AJ38" s="318"/>
      <c r="AK38" s="318"/>
      <c r="AL38" s="318"/>
      <c r="AM38" s="319"/>
      <c r="AN38" s="319"/>
      <c r="AO38" s="319"/>
      <c r="AP38" s="319"/>
      <c r="AQ38" s="319"/>
      <c r="AR38" s="319"/>
      <c r="AS38" s="318"/>
      <c r="AT38" s="318"/>
      <c r="AU38" s="318"/>
      <c r="AV38" s="318"/>
      <c r="AW38" s="318"/>
      <c r="AX38" s="318"/>
      <c r="AY38" s="318"/>
      <c r="AZ38" s="318"/>
      <c r="BA38" s="318"/>
      <c r="BB38" s="318"/>
      <c r="BC38" s="318"/>
      <c r="BD38" s="318"/>
    </row>
    <row r="39" spans="4:56">
      <c r="D39" s="316"/>
      <c r="E39" s="239"/>
      <c r="F39" s="317"/>
      <c r="I39" s="1" t="s">
        <v>27</v>
      </c>
      <c r="S39" s="318"/>
      <c r="T39" s="318"/>
      <c r="U39" s="318"/>
      <c r="V39" s="318"/>
      <c r="W39" s="319"/>
      <c r="X39" s="319"/>
      <c r="Y39" s="319"/>
      <c r="Z39" s="319"/>
      <c r="AA39" s="319"/>
      <c r="AB39" s="319"/>
      <c r="AC39" s="319"/>
      <c r="AD39" s="319"/>
      <c r="AE39" s="319"/>
      <c r="AF39" s="319"/>
      <c r="AG39" s="318"/>
      <c r="AH39" s="318"/>
      <c r="AI39" s="318"/>
      <c r="AJ39" s="318"/>
      <c r="AK39" s="318"/>
      <c r="AL39" s="318"/>
      <c r="AM39" s="319"/>
      <c r="AN39" s="319"/>
      <c r="AO39" s="319"/>
      <c r="AP39" s="319"/>
      <c r="AQ39" s="319"/>
      <c r="AR39" s="319"/>
      <c r="AS39" s="318"/>
      <c r="AT39" s="318"/>
      <c r="AU39" s="318"/>
      <c r="AV39" s="318"/>
      <c r="AW39" s="318"/>
      <c r="AX39" s="318"/>
      <c r="AY39" s="318"/>
      <c r="AZ39" s="318"/>
      <c r="BA39" s="318"/>
      <c r="BB39" s="318"/>
      <c r="BC39" s="318"/>
      <c r="BD39" s="318"/>
    </row>
    <row r="40" spans="4:56">
      <c r="D40" s="311"/>
      <c r="E40" s="312"/>
      <c r="F40" s="313"/>
      <c r="G40" s="45"/>
      <c r="H40" s="45"/>
      <c r="I40" s="45" t="s">
        <v>29</v>
      </c>
      <c r="J40" s="45"/>
      <c r="K40" s="45"/>
      <c r="L40" s="45"/>
      <c r="M40" s="45"/>
      <c r="N40" s="45"/>
      <c r="O40" s="45"/>
      <c r="P40" s="45"/>
      <c r="Q40" s="45"/>
      <c r="R40" s="45"/>
      <c r="S40" s="309"/>
      <c r="T40" s="309"/>
      <c r="U40" s="309"/>
      <c r="V40" s="309"/>
      <c r="W40" s="308"/>
      <c r="X40" s="308"/>
      <c r="Y40" s="308"/>
      <c r="Z40" s="308"/>
      <c r="AA40" s="308"/>
      <c r="AB40" s="308"/>
      <c r="AC40" s="308"/>
      <c r="AD40" s="308"/>
      <c r="AE40" s="308"/>
      <c r="AF40" s="308"/>
      <c r="AG40" s="309"/>
      <c r="AH40" s="309"/>
      <c r="AI40" s="309"/>
      <c r="AJ40" s="309"/>
      <c r="AK40" s="309"/>
      <c r="AL40" s="309"/>
      <c r="AM40" s="308"/>
      <c r="AN40" s="308"/>
      <c r="AO40" s="308"/>
      <c r="AP40" s="308"/>
      <c r="AQ40" s="308"/>
      <c r="AR40" s="308"/>
      <c r="AS40" s="309"/>
      <c r="AT40" s="309"/>
      <c r="AU40" s="309"/>
      <c r="AV40" s="309"/>
      <c r="AW40" s="309"/>
      <c r="AX40" s="309"/>
      <c r="AY40" s="309"/>
      <c r="AZ40" s="309"/>
      <c r="BA40" s="309"/>
      <c r="BB40" s="309"/>
      <c r="BC40" s="309"/>
      <c r="BD40" s="309"/>
    </row>
    <row r="41" spans="4:56">
      <c r="D41" s="15" t="s">
        <v>43</v>
      </c>
      <c r="E41" s="314" t="s">
        <v>519</v>
      </c>
      <c r="F41" s="314"/>
      <c r="G41" s="314"/>
      <c r="H41" s="314"/>
      <c r="I41" s="314"/>
      <c r="J41" s="314"/>
      <c r="K41" s="314"/>
      <c r="L41" s="314"/>
      <c r="M41" s="314"/>
      <c r="N41" s="314"/>
      <c r="O41" s="314"/>
      <c r="P41" s="314"/>
      <c r="Q41" s="314"/>
      <c r="R41" s="314"/>
      <c r="S41" s="314"/>
      <c r="T41" s="314"/>
      <c r="U41" s="314"/>
      <c r="V41" s="314"/>
      <c r="W41" s="314"/>
      <c r="X41" s="314"/>
      <c r="Y41" s="314"/>
      <c r="Z41" s="314"/>
      <c r="AA41" s="314"/>
      <c r="AB41" s="314"/>
      <c r="AC41" s="314"/>
      <c r="AD41" s="314"/>
      <c r="AE41" s="314"/>
      <c r="AF41" s="314"/>
      <c r="AG41" s="314"/>
      <c r="AH41" s="314"/>
      <c r="AI41" s="314"/>
      <c r="AJ41" s="314"/>
      <c r="AK41" s="314"/>
      <c r="AL41" s="315"/>
      <c r="AM41" s="308"/>
      <c r="AN41" s="308"/>
      <c r="AO41" s="308"/>
      <c r="AP41" s="308"/>
      <c r="AQ41" s="308"/>
      <c r="AR41" s="308"/>
      <c r="AS41" s="309"/>
      <c r="AT41" s="309"/>
      <c r="AU41" s="309"/>
      <c r="AV41" s="309"/>
      <c r="AW41" s="309"/>
      <c r="AX41" s="309"/>
      <c r="AY41" s="309"/>
      <c r="AZ41" s="309"/>
      <c r="BA41" s="309"/>
      <c r="BB41" s="309"/>
      <c r="BC41" s="309"/>
      <c r="BD41" s="309"/>
    </row>
    <row r="42" spans="4:56">
      <c r="D42" s="46" t="s">
        <v>45</v>
      </c>
      <c r="E42" s="259" t="s">
        <v>520</v>
      </c>
      <c r="F42" s="259"/>
      <c r="G42" s="259"/>
      <c r="H42" s="259"/>
      <c r="I42" s="259"/>
      <c r="J42" s="259"/>
      <c r="K42" s="259"/>
      <c r="L42" s="259"/>
      <c r="M42" s="259"/>
      <c r="N42" s="259"/>
      <c r="O42" s="259"/>
      <c r="P42" s="259"/>
      <c r="Q42" s="259"/>
      <c r="R42" s="259"/>
      <c r="S42" s="259"/>
      <c r="T42" s="259"/>
      <c r="U42" s="259"/>
      <c r="V42" s="259"/>
      <c r="W42" s="259"/>
      <c r="X42" s="259"/>
      <c r="Y42" s="259"/>
      <c r="Z42" s="259"/>
      <c r="AA42" s="259"/>
      <c r="AB42" s="259"/>
      <c r="AC42" s="259"/>
      <c r="AD42" s="259"/>
      <c r="AE42" s="259"/>
      <c r="AF42" s="259"/>
      <c r="AG42" s="259"/>
      <c r="AH42" s="259"/>
      <c r="AI42" s="259"/>
      <c r="AJ42" s="259"/>
      <c r="AK42" s="259"/>
      <c r="AL42" s="307"/>
      <c r="AM42" s="308"/>
      <c r="AN42" s="308"/>
      <c r="AO42" s="308"/>
      <c r="AP42" s="308"/>
      <c r="AQ42" s="308"/>
      <c r="AR42" s="308"/>
      <c r="AS42" s="309"/>
      <c r="AT42" s="309"/>
      <c r="AU42" s="309"/>
      <c r="AV42" s="309"/>
      <c r="AW42" s="309"/>
      <c r="AX42" s="309"/>
      <c r="AY42" s="309"/>
      <c r="AZ42" s="309"/>
      <c r="BA42" s="309"/>
      <c r="BB42" s="309"/>
      <c r="BC42" s="309"/>
      <c r="BD42" s="309"/>
    </row>
    <row r="43" spans="4:56">
      <c r="D43" s="46" t="s">
        <v>77</v>
      </c>
      <c r="E43" s="259" t="s">
        <v>521</v>
      </c>
      <c r="F43" s="259"/>
      <c r="G43" s="259"/>
      <c r="H43" s="259"/>
      <c r="I43" s="259"/>
      <c r="J43" s="259"/>
      <c r="K43" s="259"/>
      <c r="L43" s="259"/>
      <c r="M43" s="259"/>
      <c r="N43" s="259"/>
      <c r="O43" s="259"/>
      <c r="P43" s="259"/>
      <c r="Q43" s="259"/>
      <c r="R43" s="259"/>
      <c r="S43" s="259"/>
      <c r="T43" s="259"/>
      <c r="U43" s="259"/>
      <c r="V43" s="259"/>
      <c r="W43" s="259"/>
      <c r="X43" s="259"/>
      <c r="Y43" s="259"/>
      <c r="Z43" s="259"/>
      <c r="AA43" s="259"/>
      <c r="AB43" s="259"/>
      <c r="AC43" s="259"/>
      <c r="AD43" s="259"/>
      <c r="AE43" s="259"/>
      <c r="AF43" s="259"/>
      <c r="AG43" s="259"/>
      <c r="AH43" s="259"/>
      <c r="AI43" s="259"/>
      <c r="AJ43" s="259"/>
      <c r="AK43" s="259"/>
      <c r="AL43" s="307"/>
      <c r="AM43" s="308"/>
      <c r="AN43" s="308"/>
      <c r="AO43" s="308"/>
      <c r="AP43" s="308"/>
      <c r="AQ43" s="308"/>
      <c r="AR43" s="308"/>
      <c r="AS43" s="309"/>
      <c r="AT43" s="309"/>
      <c r="AU43" s="309"/>
      <c r="AV43" s="309"/>
      <c r="AW43" s="309"/>
      <c r="AX43" s="309"/>
      <c r="AY43" s="309"/>
      <c r="AZ43" s="309"/>
      <c r="BA43" s="309"/>
      <c r="BB43" s="309"/>
      <c r="BC43" s="309"/>
      <c r="BD43" s="309"/>
    </row>
    <row r="44" spans="4:56">
      <c r="D44" s="316"/>
      <c r="E44" s="239"/>
      <c r="F44" s="317"/>
      <c r="G44" s="1" t="s">
        <v>522</v>
      </c>
      <c r="H44" s="36" t="s">
        <v>523</v>
      </c>
      <c r="S44" s="318"/>
      <c r="T44" s="318"/>
      <c r="U44" s="318"/>
      <c r="V44" s="318"/>
      <c r="W44" s="319"/>
      <c r="X44" s="319"/>
      <c r="Y44" s="319"/>
      <c r="Z44" s="319"/>
      <c r="AA44" s="319"/>
      <c r="AB44" s="319"/>
      <c r="AC44" s="319"/>
      <c r="AD44" s="319"/>
      <c r="AE44" s="319"/>
      <c r="AF44" s="319"/>
      <c r="AG44" s="318"/>
      <c r="AH44" s="318"/>
      <c r="AI44" s="318"/>
      <c r="AJ44" s="318"/>
      <c r="AK44" s="318"/>
      <c r="AL44" s="318"/>
      <c r="AM44" s="319"/>
      <c r="AN44" s="319"/>
      <c r="AO44" s="319"/>
      <c r="AP44" s="319"/>
      <c r="AQ44" s="319"/>
      <c r="AR44" s="319"/>
      <c r="AS44" s="318"/>
      <c r="AT44" s="318"/>
      <c r="AU44" s="318"/>
      <c r="AV44" s="318"/>
      <c r="AW44" s="318"/>
      <c r="AX44" s="318"/>
      <c r="AY44" s="318"/>
      <c r="AZ44" s="318"/>
      <c r="BA44" s="318"/>
      <c r="BB44" s="318"/>
      <c r="BC44" s="318"/>
      <c r="BD44" s="318"/>
    </row>
    <row r="45" spans="4:56">
      <c r="D45" s="316"/>
      <c r="E45" s="239"/>
      <c r="F45" s="317"/>
      <c r="H45" s="1" t="s">
        <v>25</v>
      </c>
      <c r="I45" s="1" t="s">
        <v>511</v>
      </c>
      <c r="S45" s="318"/>
      <c r="T45" s="318"/>
      <c r="U45" s="318"/>
      <c r="V45" s="318"/>
      <c r="W45" s="319"/>
      <c r="X45" s="319"/>
      <c r="Y45" s="319"/>
      <c r="Z45" s="319"/>
      <c r="AA45" s="319"/>
      <c r="AB45" s="319"/>
      <c r="AC45" s="319"/>
      <c r="AD45" s="319"/>
      <c r="AE45" s="319"/>
      <c r="AF45" s="319"/>
      <c r="AG45" s="318"/>
      <c r="AH45" s="318"/>
      <c r="AI45" s="318"/>
      <c r="AJ45" s="318"/>
      <c r="AK45" s="318"/>
      <c r="AL45" s="318"/>
      <c r="AM45" s="319"/>
      <c r="AN45" s="319"/>
      <c r="AO45" s="319"/>
      <c r="AP45" s="319"/>
      <c r="AQ45" s="319"/>
      <c r="AR45" s="319"/>
      <c r="AS45" s="318"/>
      <c r="AT45" s="318"/>
      <c r="AU45" s="318"/>
      <c r="AV45" s="318"/>
      <c r="AW45" s="318"/>
      <c r="AX45" s="318"/>
      <c r="AY45" s="318"/>
      <c r="AZ45" s="318"/>
      <c r="BA45" s="318"/>
      <c r="BB45" s="318"/>
      <c r="BC45" s="318"/>
      <c r="BD45" s="318"/>
    </row>
    <row r="46" spans="4:56">
      <c r="D46" s="316"/>
      <c r="E46" s="239"/>
      <c r="F46" s="317"/>
      <c r="I46" s="1" t="s">
        <v>27</v>
      </c>
      <c r="S46" s="318"/>
      <c r="T46" s="318"/>
      <c r="U46" s="318"/>
      <c r="V46" s="318"/>
      <c r="W46" s="319"/>
      <c r="X46" s="319"/>
      <c r="Y46" s="319"/>
      <c r="Z46" s="319"/>
      <c r="AA46" s="319"/>
      <c r="AB46" s="319"/>
      <c r="AC46" s="319"/>
      <c r="AD46" s="319"/>
      <c r="AE46" s="319"/>
      <c r="AF46" s="319"/>
      <c r="AG46" s="318"/>
      <c r="AH46" s="318"/>
      <c r="AI46" s="318"/>
      <c r="AJ46" s="318"/>
      <c r="AK46" s="318"/>
      <c r="AL46" s="318"/>
      <c r="AM46" s="319"/>
      <c r="AN46" s="319"/>
      <c r="AO46" s="319"/>
      <c r="AP46" s="319"/>
      <c r="AQ46" s="319"/>
      <c r="AR46" s="319"/>
      <c r="AS46" s="318"/>
      <c r="AT46" s="318"/>
      <c r="AU46" s="318"/>
      <c r="AV46" s="318"/>
      <c r="AW46" s="318"/>
      <c r="AX46" s="318"/>
      <c r="AY46" s="318"/>
      <c r="AZ46" s="318"/>
      <c r="BA46" s="318"/>
      <c r="BB46" s="318"/>
      <c r="BC46" s="318"/>
      <c r="BD46" s="318"/>
    </row>
    <row r="47" spans="4:56">
      <c r="D47" s="316"/>
      <c r="E47" s="239"/>
      <c r="F47" s="317"/>
      <c r="I47" s="1" t="s">
        <v>29</v>
      </c>
      <c r="S47" s="318"/>
      <c r="T47" s="318"/>
      <c r="U47" s="318"/>
      <c r="V47" s="318"/>
      <c r="W47" s="319"/>
      <c r="X47" s="319"/>
      <c r="Y47" s="319"/>
      <c r="Z47" s="319"/>
      <c r="AA47" s="319"/>
      <c r="AB47" s="319"/>
      <c r="AC47" s="319"/>
      <c r="AD47" s="319"/>
      <c r="AE47" s="319"/>
      <c r="AF47" s="319"/>
      <c r="AG47" s="318"/>
      <c r="AH47" s="318"/>
      <c r="AI47" s="318"/>
      <c r="AJ47" s="318"/>
      <c r="AK47" s="318"/>
      <c r="AL47" s="318"/>
      <c r="AM47" s="319"/>
      <c r="AN47" s="319"/>
      <c r="AO47" s="319"/>
      <c r="AP47" s="319"/>
      <c r="AQ47" s="319"/>
      <c r="AR47" s="319"/>
      <c r="AS47" s="318"/>
      <c r="AT47" s="318"/>
      <c r="AU47" s="318"/>
      <c r="AV47" s="318"/>
      <c r="AW47" s="318"/>
      <c r="AX47" s="318"/>
      <c r="AY47" s="318"/>
      <c r="AZ47" s="318"/>
      <c r="BA47" s="318"/>
      <c r="BB47" s="318"/>
      <c r="BC47" s="318"/>
      <c r="BD47" s="318"/>
    </row>
    <row r="48" spans="4:56">
      <c r="D48" s="316"/>
      <c r="E48" s="239"/>
      <c r="F48" s="317"/>
      <c r="I48" s="1" t="s">
        <v>31</v>
      </c>
      <c r="S48" s="318"/>
      <c r="T48" s="318"/>
      <c r="U48" s="318"/>
      <c r="V48" s="318"/>
      <c r="W48" s="319"/>
      <c r="X48" s="319"/>
      <c r="Y48" s="319"/>
      <c r="Z48" s="319"/>
      <c r="AA48" s="319"/>
      <c r="AB48" s="319"/>
      <c r="AC48" s="319"/>
      <c r="AD48" s="319"/>
      <c r="AE48" s="319"/>
      <c r="AF48" s="319"/>
      <c r="AG48" s="318"/>
      <c r="AH48" s="318"/>
      <c r="AI48" s="318"/>
      <c r="AJ48" s="318"/>
      <c r="AK48" s="318"/>
      <c r="AL48" s="318"/>
      <c r="AM48" s="319"/>
      <c r="AN48" s="319"/>
      <c r="AO48" s="319"/>
      <c r="AP48" s="319"/>
      <c r="AQ48" s="319"/>
      <c r="AR48" s="319"/>
      <c r="AS48" s="318"/>
      <c r="AT48" s="318"/>
      <c r="AU48" s="318"/>
      <c r="AV48" s="318"/>
      <c r="AW48" s="318"/>
      <c r="AX48" s="318"/>
      <c r="AY48" s="318"/>
      <c r="AZ48" s="318"/>
      <c r="BA48" s="318"/>
      <c r="BB48" s="318"/>
      <c r="BC48" s="318"/>
      <c r="BD48" s="318"/>
    </row>
    <row r="49" spans="4:56">
      <c r="D49" s="316"/>
      <c r="E49" s="239"/>
      <c r="F49" s="317"/>
      <c r="H49" s="1" t="s">
        <v>35</v>
      </c>
      <c r="I49" s="1" t="s">
        <v>512</v>
      </c>
      <c r="S49" s="318"/>
      <c r="T49" s="318"/>
      <c r="U49" s="318"/>
      <c r="V49" s="318"/>
      <c r="W49" s="319"/>
      <c r="X49" s="319"/>
      <c r="Y49" s="319"/>
      <c r="Z49" s="319"/>
      <c r="AA49" s="319"/>
      <c r="AB49" s="319"/>
      <c r="AC49" s="319"/>
      <c r="AD49" s="319"/>
      <c r="AE49" s="319"/>
      <c r="AF49" s="319"/>
      <c r="AG49" s="318"/>
      <c r="AH49" s="318"/>
      <c r="AI49" s="318"/>
      <c r="AJ49" s="318"/>
      <c r="AK49" s="318"/>
      <c r="AL49" s="318"/>
      <c r="AM49" s="319"/>
      <c r="AN49" s="319"/>
      <c r="AO49" s="319"/>
      <c r="AP49" s="319"/>
      <c r="AQ49" s="319"/>
      <c r="AR49" s="319"/>
      <c r="AS49" s="318"/>
      <c r="AT49" s="318"/>
      <c r="AU49" s="318"/>
      <c r="AV49" s="318"/>
      <c r="AW49" s="318"/>
      <c r="AX49" s="318"/>
      <c r="AY49" s="318"/>
      <c r="AZ49" s="318"/>
      <c r="BA49" s="318"/>
      <c r="BB49" s="318"/>
      <c r="BC49" s="318"/>
      <c r="BD49" s="318"/>
    </row>
    <row r="50" spans="4:56">
      <c r="D50" s="316"/>
      <c r="E50" s="239"/>
      <c r="F50" s="317"/>
      <c r="I50" s="1" t="s">
        <v>27</v>
      </c>
      <c r="S50" s="318"/>
      <c r="T50" s="318"/>
      <c r="U50" s="318"/>
      <c r="V50" s="318"/>
      <c r="W50" s="319"/>
      <c r="X50" s="319"/>
      <c r="Y50" s="319"/>
      <c r="Z50" s="319"/>
      <c r="AA50" s="319"/>
      <c r="AB50" s="319"/>
      <c r="AC50" s="319"/>
      <c r="AD50" s="319"/>
      <c r="AE50" s="319"/>
      <c r="AF50" s="319"/>
      <c r="AG50" s="318"/>
      <c r="AH50" s="318"/>
      <c r="AI50" s="318"/>
      <c r="AJ50" s="318"/>
      <c r="AK50" s="318"/>
      <c r="AL50" s="318"/>
      <c r="AM50" s="319"/>
      <c r="AN50" s="319"/>
      <c r="AO50" s="319"/>
      <c r="AP50" s="319"/>
      <c r="AQ50" s="319"/>
      <c r="AR50" s="319"/>
      <c r="AS50" s="318"/>
      <c r="AT50" s="318"/>
      <c r="AU50" s="318"/>
      <c r="AV50" s="318"/>
      <c r="AW50" s="318"/>
      <c r="AX50" s="318"/>
      <c r="AY50" s="318"/>
      <c r="AZ50" s="318"/>
      <c r="BA50" s="318"/>
      <c r="BB50" s="318"/>
      <c r="BC50" s="318"/>
      <c r="BD50" s="318"/>
    </row>
    <row r="51" spans="4:56">
      <c r="D51" s="316"/>
      <c r="E51" s="239"/>
      <c r="F51" s="317"/>
      <c r="I51" s="1" t="s">
        <v>29</v>
      </c>
      <c r="S51" s="318"/>
      <c r="T51" s="318"/>
      <c r="U51" s="318"/>
      <c r="V51" s="318"/>
      <c r="W51" s="319"/>
      <c r="X51" s="319"/>
      <c r="Y51" s="319"/>
      <c r="Z51" s="319"/>
      <c r="AA51" s="319"/>
      <c r="AB51" s="319"/>
      <c r="AC51" s="319"/>
      <c r="AD51" s="319"/>
      <c r="AE51" s="319"/>
      <c r="AF51" s="319"/>
      <c r="AG51" s="318"/>
      <c r="AH51" s="318"/>
      <c r="AI51" s="318"/>
      <c r="AJ51" s="318"/>
      <c r="AK51" s="318"/>
      <c r="AL51" s="318"/>
      <c r="AM51" s="319"/>
      <c r="AN51" s="319"/>
      <c r="AO51" s="319"/>
      <c r="AP51" s="319"/>
      <c r="AQ51" s="319"/>
      <c r="AR51" s="319"/>
      <c r="AS51" s="318"/>
      <c r="AT51" s="318"/>
      <c r="AU51" s="318"/>
      <c r="AV51" s="318"/>
      <c r="AW51" s="318"/>
      <c r="AX51" s="318"/>
      <c r="AY51" s="318"/>
      <c r="AZ51" s="318"/>
      <c r="BA51" s="318"/>
      <c r="BB51" s="318"/>
      <c r="BC51" s="318"/>
      <c r="BD51" s="318"/>
    </row>
    <row r="52" spans="4:56">
      <c r="D52" s="316"/>
      <c r="E52" s="239"/>
      <c r="F52" s="317"/>
      <c r="I52" s="1" t="s">
        <v>31</v>
      </c>
      <c r="S52" s="318"/>
      <c r="T52" s="318"/>
      <c r="U52" s="318"/>
      <c r="V52" s="318"/>
      <c r="W52" s="319"/>
      <c r="X52" s="319"/>
      <c r="Y52" s="319"/>
      <c r="Z52" s="319"/>
      <c r="AA52" s="319"/>
      <c r="AB52" s="319"/>
      <c r="AC52" s="319"/>
      <c r="AD52" s="319"/>
      <c r="AE52" s="319"/>
      <c r="AF52" s="319"/>
      <c r="AG52" s="318"/>
      <c r="AH52" s="318"/>
      <c r="AI52" s="318"/>
      <c r="AJ52" s="318"/>
      <c r="AK52" s="318"/>
      <c r="AL52" s="318"/>
      <c r="AM52" s="319"/>
      <c r="AN52" s="319"/>
      <c r="AO52" s="319"/>
      <c r="AP52" s="319"/>
      <c r="AQ52" s="319"/>
      <c r="AR52" s="319"/>
      <c r="AS52" s="318"/>
      <c r="AT52" s="318"/>
      <c r="AU52" s="318"/>
      <c r="AV52" s="318"/>
      <c r="AW52" s="318"/>
      <c r="AX52" s="318"/>
      <c r="AY52" s="318"/>
      <c r="AZ52" s="318"/>
      <c r="BA52" s="318"/>
      <c r="BB52" s="318"/>
      <c r="BC52" s="318"/>
      <c r="BD52" s="318"/>
    </row>
    <row r="53" spans="4:56">
      <c r="D53" s="316"/>
      <c r="E53" s="239"/>
      <c r="F53" s="317"/>
      <c r="H53" s="1" t="s">
        <v>47</v>
      </c>
      <c r="I53" s="1" t="s">
        <v>513</v>
      </c>
      <c r="S53" s="318"/>
      <c r="T53" s="318"/>
      <c r="U53" s="318"/>
      <c r="V53" s="318"/>
      <c r="W53" s="319"/>
      <c r="X53" s="319"/>
      <c r="Y53" s="319"/>
      <c r="Z53" s="319"/>
      <c r="AA53" s="319"/>
      <c r="AB53" s="319"/>
      <c r="AC53" s="319"/>
      <c r="AD53" s="319"/>
      <c r="AE53" s="319"/>
      <c r="AF53" s="319"/>
      <c r="AG53" s="318"/>
      <c r="AH53" s="318"/>
      <c r="AI53" s="318"/>
      <c r="AJ53" s="318"/>
      <c r="AK53" s="318"/>
      <c r="AL53" s="318"/>
      <c r="AM53" s="319"/>
      <c r="AN53" s="319"/>
      <c r="AO53" s="319"/>
      <c r="AP53" s="319"/>
      <c r="AQ53" s="319"/>
      <c r="AR53" s="319"/>
      <c r="AS53" s="318"/>
      <c r="AT53" s="318"/>
      <c r="AU53" s="318"/>
      <c r="AV53" s="318"/>
      <c r="AW53" s="318"/>
      <c r="AX53" s="318"/>
      <c r="AY53" s="318"/>
      <c r="AZ53" s="318"/>
      <c r="BA53" s="318"/>
      <c r="BB53" s="318"/>
      <c r="BC53" s="318"/>
      <c r="BD53" s="318"/>
    </row>
    <row r="54" spans="4:56">
      <c r="D54" s="316"/>
      <c r="E54" s="239"/>
      <c r="F54" s="317"/>
      <c r="I54" s="1" t="s">
        <v>27</v>
      </c>
      <c r="S54" s="318"/>
      <c r="T54" s="318"/>
      <c r="U54" s="318"/>
      <c r="V54" s="318"/>
      <c r="W54" s="319"/>
      <c r="X54" s="319"/>
      <c r="Y54" s="319"/>
      <c r="Z54" s="319"/>
      <c r="AA54" s="319"/>
      <c r="AB54" s="319"/>
      <c r="AC54" s="319"/>
      <c r="AD54" s="319"/>
      <c r="AE54" s="319"/>
      <c r="AF54" s="319"/>
      <c r="AG54" s="318"/>
      <c r="AH54" s="318"/>
      <c r="AI54" s="318"/>
      <c r="AJ54" s="318"/>
      <c r="AK54" s="318"/>
      <c r="AL54" s="318"/>
      <c r="AM54" s="319"/>
      <c r="AN54" s="319"/>
      <c r="AO54" s="319"/>
      <c r="AP54" s="319"/>
      <c r="AQ54" s="319"/>
      <c r="AR54" s="319"/>
      <c r="AS54" s="318"/>
      <c r="AT54" s="318"/>
      <c r="AU54" s="318"/>
      <c r="AV54" s="318"/>
      <c r="AW54" s="318"/>
      <c r="AX54" s="318"/>
      <c r="AY54" s="318"/>
      <c r="AZ54" s="318"/>
      <c r="BA54" s="318"/>
      <c r="BB54" s="318"/>
      <c r="BC54" s="318"/>
      <c r="BD54" s="318"/>
    </row>
    <row r="55" spans="4:56">
      <c r="D55" s="316"/>
      <c r="E55" s="239"/>
      <c r="F55" s="317"/>
      <c r="I55" s="1" t="s">
        <v>29</v>
      </c>
      <c r="S55" s="318"/>
      <c r="T55" s="318"/>
      <c r="U55" s="318"/>
      <c r="V55" s="318"/>
      <c r="W55" s="319"/>
      <c r="X55" s="319"/>
      <c r="Y55" s="319"/>
      <c r="Z55" s="319"/>
      <c r="AA55" s="319"/>
      <c r="AB55" s="319"/>
      <c r="AC55" s="319"/>
      <c r="AD55" s="319"/>
      <c r="AE55" s="319"/>
      <c r="AF55" s="319"/>
      <c r="AG55" s="318"/>
      <c r="AH55" s="318"/>
      <c r="AI55" s="318"/>
      <c r="AJ55" s="318"/>
      <c r="AK55" s="318"/>
      <c r="AL55" s="318"/>
      <c r="AM55" s="319"/>
      <c r="AN55" s="319"/>
      <c r="AO55" s="319"/>
      <c r="AP55" s="319"/>
      <c r="AQ55" s="319"/>
      <c r="AR55" s="319"/>
      <c r="AS55" s="318"/>
      <c r="AT55" s="318"/>
      <c r="AU55" s="318"/>
      <c r="AV55" s="318"/>
      <c r="AW55" s="318"/>
      <c r="AX55" s="318"/>
      <c r="AY55" s="318"/>
      <c r="AZ55" s="318"/>
      <c r="BA55" s="318"/>
      <c r="BB55" s="318"/>
      <c r="BC55" s="318"/>
      <c r="BD55" s="318"/>
    </row>
    <row r="56" spans="4:56">
      <c r="D56" s="316"/>
      <c r="E56" s="239"/>
      <c r="F56" s="317"/>
      <c r="I56" s="1" t="s">
        <v>31</v>
      </c>
      <c r="S56" s="318"/>
      <c r="T56" s="318"/>
      <c r="U56" s="318"/>
      <c r="V56" s="318"/>
      <c r="W56" s="319"/>
      <c r="X56" s="319"/>
      <c r="Y56" s="319"/>
      <c r="Z56" s="319"/>
      <c r="AA56" s="319"/>
      <c r="AB56" s="319"/>
      <c r="AC56" s="319"/>
      <c r="AD56" s="319"/>
      <c r="AE56" s="319"/>
      <c r="AF56" s="319"/>
      <c r="AG56" s="318"/>
      <c r="AH56" s="318"/>
      <c r="AI56" s="318"/>
      <c r="AJ56" s="318"/>
      <c r="AK56" s="318"/>
      <c r="AL56" s="318"/>
      <c r="AM56" s="319"/>
      <c r="AN56" s="319"/>
      <c r="AO56" s="319"/>
      <c r="AP56" s="319"/>
      <c r="AQ56" s="319"/>
      <c r="AR56" s="319"/>
      <c r="AS56" s="318"/>
      <c r="AT56" s="318"/>
      <c r="AU56" s="318"/>
      <c r="AV56" s="318"/>
      <c r="AW56" s="318"/>
      <c r="AX56" s="318"/>
      <c r="AY56" s="318"/>
      <c r="AZ56" s="318"/>
      <c r="BA56" s="318"/>
      <c r="BB56" s="318"/>
      <c r="BC56" s="318"/>
      <c r="BD56" s="318"/>
    </row>
    <row r="57" spans="4:56">
      <c r="D57" s="316"/>
      <c r="E57" s="239"/>
      <c r="F57" s="317"/>
      <c r="H57" s="1" t="s">
        <v>58</v>
      </c>
      <c r="I57" s="1" t="s">
        <v>514</v>
      </c>
      <c r="S57" s="318"/>
      <c r="T57" s="318"/>
      <c r="U57" s="318"/>
      <c r="V57" s="318"/>
      <c r="W57" s="319"/>
      <c r="X57" s="319"/>
      <c r="Y57" s="319"/>
      <c r="Z57" s="319"/>
      <c r="AA57" s="319"/>
      <c r="AB57" s="319"/>
      <c r="AC57" s="319"/>
      <c r="AD57" s="319"/>
      <c r="AE57" s="319"/>
      <c r="AF57" s="319"/>
      <c r="AG57" s="318"/>
      <c r="AH57" s="318"/>
      <c r="AI57" s="318"/>
      <c r="AJ57" s="318"/>
      <c r="AK57" s="318"/>
      <c r="AL57" s="318"/>
      <c r="AM57" s="319"/>
      <c r="AN57" s="319"/>
      <c r="AO57" s="319"/>
      <c r="AP57" s="319"/>
      <c r="AQ57" s="319"/>
      <c r="AR57" s="319"/>
      <c r="AS57" s="318"/>
      <c r="AT57" s="318"/>
      <c r="AU57" s="318"/>
      <c r="AV57" s="318"/>
      <c r="AW57" s="318"/>
      <c r="AX57" s="318"/>
      <c r="AY57" s="318"/>
      <c r="AZ57" s="318"/>
      <c r="BA57" s="318"/>
      <c r="BB57" s="318"/>
      <c r="BC57" s="318"/>
      <c r="BD57" s="318"/>
    </row>
    <row r="58" spans="4:56">
      <c r="D58" s="316"/>
      <c r="E58" s="239"/>
      <c r="F58" s="317"/>
      <c r="I58" s="1" t="s">
        <v>27</v>
      </c>
      <c r="S58" s="318"/>
      <c r="T58" s="318"/>
      <c r="U58" s="318"/>
      <c r="V58" s="318"/>
      <c r="W58" s="319"/>
      <c r="X58" s="319"/>
      <c r="Y58" s="319"/>
      <c r="Z58" s="319"/>
      <c r="AA58" s="319"/>
      <c r="AB58" s="319"/>
      <c r="AC58" s="319"/>
      <c r="AD58" s="319"/>
      <c r="AE58" s="319"/>
      <c r="AF58" s="319"/>
      <c r="AG58" s="318"/>
      <c r="AH58" s="318"/>
      <c r="AI58" s="318"/>
      <c r="AJ58" s="318"/>
      <c r="AK58" s="318"/>
      <c r="AL58" s="318"/>
      <c r="AM58" s="319"/>
      <c r="AN58" s="319"/>
      <c r="AO58" s="319"/>
      <c r="AP58" s="319"/>
      <c r="AQ58" s="319"/>
      <c r="AR58" s="319"/>
      <c r="AS58" s="318"/>
      <c r="AT58" s="318"/>
      <c r="AU58" s="318"/>
      <c r="AV58" s="318"/>
      <c r="AW58" s="318"/>
      <c r="AX58" s="318"/>
      <c r="AY58" s="318"/>
      <c r="AZ58" s="318"/>
      <c r="BA58" s="318"/>
      <c r="BB58" s="318"/>
      <c r="BC58" s="318"/>
      <c r="BD58" s="318"/>
    </row>
    <row r="59" spans="4:56">
      <c r="D59" s="316"/>
      <c r="E59" s="239"/>
      <c r="F59" s="317"/>
      <c r="I59" s="1" t="s">
        <v>29</v>
      </c>
      <c r="S59" s="318"/>
      <c r="T59" s="318"/>
      <c r="U59" s="318"/>
      <c r="V59" s="318"/>
      <c r="W59" s="319"/>
      <c r="X59" s="319"/>
      <c r="Y59" s="319"/>
      <c r="Z59" s="319"/>
      <c r="AA59" s="319"/>
      <c r="AB59" s="319"/>
      <c r="AC59" s="319"/>
      <c r="AD59" s="319"/>
      <c r="AE59" s="319"/>
      <c r="AF59" s="319"/>
      <c r="AG59" s="318"/>
      <c r="AH59" s="318"/>
      <c r="AI59" s="318"/>
      <c r="AJ59" s="318"/>
      <c r="AK59" s="318"/>
      <c r="AL59" s="318"/>
      <c r="AM59" s="319"/>
      <c r="AN59" s="319"/>
      <c r="AO59" s="319"/>
      <c r="AP59" s="319"/>
      <c r="AQ59" s="319"/>
      <c r="AR59" s="319"/>
      <c r="AS59" s="318"/>
      <c r="AT59" s="318"/>
      <c r="AU59" s="318"/>
      <c r="AV59" s="318"/>
      <c r="AW59" s="318"/>
      <c r="AX59" s="318"/>
      <c r="AY59" s="318"/>
      <c r="AZ59" s="318"/>
      <c r="BA59" s="318"/>
      <c r="BB59" s="318"/>
      <c r="BC59" s="318"/>
      <c r="BD59" s="318"/>
    </row>
    <row r="60" spans="4:56">
      <c r="D60" s="316"/>
      <c r="E60" s="239"/>
      <c r="F60" s="317"/>
      <c r="I60" s="1" t="s">
        <v>31</v>
      </c>
      <c r="S60" s="318"/>
      <c r="T60" s="318"/>
      <c r="U60" s="318"/>
      <c r="V60" s="318"/>
      <c r="W60" s="319"/>
      <c r="X60" s="319"/>
      <c r="Y60" s="319"/>
      <c r="Z60" s="319"/>
      <c r="AA60" s="319"/>
      <c r="AB60" s="319"/>
      <c r="AC60" s="319"/>
      <c r="AD60" s="319"/>
      <c r="AE60" s="319"/>
      <c r="AF60" s="319"/>
      <c r="AG60" s="318"/>
      <c r="AH60" s="318"/>
      <c r="AI60" s="318"/>
      <c r="AJ60" s="318"/>
      <c r="AK60" s="318"/>
      <c r="AL60" s="318"/>
      <c r="AM60" s="319"/>
      <c r="AN60" s="319"/>
      <c r="AO60" s="319"/>
      <c r="AP60" s="319"/>
      <c r="AQ60" s="319"/>
      <c r="AR60" s="319"/>
      <c r="AS60" s="318"/>
      <c r="AT60" s="318"/>
      <c r="AU60" s="318"/>
      <c r="AV60" s="318"/>
      <c r="AW60" s="318"/>
      <c r="AX60" s="318"/>
      <c r="AY60" s="318"/>
      <c r="AZ60" s="318"/>
      <c r="BA60" s="318"/>
      <c r="BB60" s="318"/>
      <c r="BC60" s="318"/>
      <c r="BD60" s="318"/>
    </row>
    <row r="61" spans="4:56">
      <c r="D61" s="316"/>
      <c r="E61" s="239"/>
      <c r="F61" s="317"/>
      <c r="H61" s="1" t="s">
        <v>88</v>
      </c>
      <c r="I61" s="1" t="s">
        <v>524</v>
      </c>
      <c r="S61" s="318"/>
      <c r="T61" s="318"/>
      <c r="U61" s="318"/>
      <c r="V61" s="318"/>
      <c r="W61" s="319"/>
      <c r="X61" s="319"/>
      <c r="Y61" s="319"/>
      <c r="Z61" s="319"/>
      <c r="AA61" s="319"/>
      <c r="AB61" s="319"/>
      <c r="AC61" s="319"/>
      <c r="AD61" s="319"/>
      <c r="AE61" s="319"/>
      <c r="AF61" s="319"/>
      <c r="AG61" s="318"/>
      <c r="AH61" s="318"/>
      <c r="AI61" s="318"/>
      <c r="AJ61" s="318"/>
      <c r="AK61" s="318"/>
      <c r="AL61" s="318"/>
      <c r="AM61" s="319"/>
      <c r="AN61" s="319"/>
      <c r="AO61" s="319"/>
      <c r="AP61" s="319"/>
      <c r="AQ61" s="319"/>
      <c r="AR61" s="319"/>
      <c r="AS61" s="318"/>
      <c r="AT61" s="318"/>
      <c r="AU61" s="318"/>
      <c r="AV61" s="318"/>
      <c r="AW61" s="318"/>
      <c r="AX61" s="318"/>
      <c r="AY61" s="318"/>
      <c r="AZ61" s="318"/>
      <c r="BA61" s="318"/>
      <c r="BB61" s="318"/>
      <c r="BC61" s="318"/>
      <c r="BD61" s="318"/>
    </row>
    <row r="62" spans="4:56">
      <c r="D62" s="316"/>
      <c r="E62" s="239"/>
      <c r="F62" s="317"/>
      <c r="I62" s="1" t="s">
        <v>27</v>
      </c>
      <c r="S62" s="318"/>
      <c r="T62" s="318"/>
      <c r="U62" s="318"/>
      <c r="V62" s="318"/>
      <c r="W62" s="319"/>
      <c r="X62" s="319"/>
      <c r="Y62" s="319"/>
      <c r="Z62" s="319"/>
      <c r="AA62" s="319"/>
      <c r="AB62" s="319"/>
      <c r="AC62" s="319"/>
      <c r="AD62" s="319"/>
      <c r="AE62" s="319"/>
      <c r="AF62" s="319"/>
      <c r="AG62" s="318"/>
      <c r="AH62" s="318"/>
      <c r="AI62" s="318"/>
      <c r="AJ62" s="318"/>
      <c r="AK62" s="318"/>
      <c r="AL62" s="318"/>
      <c r="AM62" s="319"/>
      <c r="AN62" s="319"/>
      <c r="AO62" s="319"/>
      <c r="AP62" s="319"/>
      <c r="AQ62" s="319"/>
      <c r="AR62" s="319"/>
      <c r="AS62" s="318"/>
      <c r="AT62" s="318"/>
      <c r="AU62" s="318"/>
      <c r="AV62" s="318"/>
      <c r="AW62" s="318"/>
      <c r="AX62" s="318"/>
      <c r="AY62" s="318"/>
      <c r="AZ62" s="318"/>
      <c r="BA62" s="318"/>
      <c r="BB62" s="318"/>
      <c r="BC62" s="318"/>
      <c r="BD62" s="318"/>
    </row>
    <row r="63" spans="4:56">
      <c r="D63" s="316"/>
      <c r="E63" s="239"/>
      <c r="F63" s="317"/>
      <c r="I63" s="1" t="s">
        <v>29</v>
      </c>
      <c r="S63" s="318"/>
      <c r="T63" s="318"/>
      <c r="U63" s="318"/>
      <c r="V63" s="318"/>
      <c r="W63" s="319"/>
      <c r="X63" s="319"/>
      <c r="Y63" s="319"/>
      <c r="Z63" s="319"/>
      <c r="AA63" s="319"/>
      <c r="AB63" s="319"/>
      <c r="AC63" s="319"/>
      <c r="AD63" s="319"/>
      <c r="AE63" s="319"/>
      <c r="AF63" s="319"/>
      <c r="AG63" s="318"/>
      <c r="AH63" s="318"/>
      <c r="AI63" s="318"/>
      <c r="AJ63" s="318"/>
      <c r="AK63" s="318"/>
      <c r="AL63" s="318"/>
      <c r="AM63" s="319"/>
      <c r="AN63" s="319"/>
      <c r="AO63" s="319"/>
      <c r="AP63" s="319"/>
      <c r="AQ63" s="319"/>
      <c r="AR63" s="319"/>
      <c r="AS63" s="318"/>
      <c r="AT63" s="318"/>
      <c r="AU63" s="318"/>
      <c r="AV63" s="318"/>
      <c r="AW63" s="318"/>
      <c r="AX63" s="318"/>
      <c r="AY63" s="318"/>
      <c r="AZ63" s="318"/>
      <c r="BA63" s="318"/>
      <c r="BB63" s="318"/>
      <c r="BC63" s="318"/>
      <c r="BD63" s="318"/>
    </row>
    <row r="64" spans="4:56">
      <c r="D64" s="311"/>
      <c r="E64" s="312"/>
      <c r="F64" s="313"/>
      <c r="G64" s="45"/>
      <c r="H64" s="45"/>
      <c r="I64" s="45" t="s">
        <v>31</v>
      </c>
      <c r="J64" s="45"/>
      <c r="K64" s="45"/>
      <c r="L64" s="45"/>
      <c r="M64" s="45"/>
      <c r="N64" s="45"/>
      <c r="O64" s="45"/>
      <c r="P64" s="45"/>
      <c r="Q64" s="45"/>
      <c r="R64" s="45"/>
      <c r="S64" s="309"/>
      <c r="T64" s="309"/>
      <c r="U64" s="309"/>
      <c r="V64" s="309"/>
      <c r="W64" s="308"/>
      <c r="X64" s="308"/>
      <c r="Y64" s="308"/>
      <c r="Z64" s="308"/>
      <c r="AA64" s="308"/>
      <c r="AB64" s="308"/>
      <c r="AC64" s="308"/>
      <c r="AD64" s="308"/>
      <c r="AE64" s="308"/>
      <c r="AF64" s="308"/>
      <c r="AG64" s="309"/>
      <c r="AH64" s="309"/>
      <c r="AI64" s="309"/>
      <c r="AJ64" s="309"/>
      <c r="AK64" s="309"/>
      <c r="AL64" s="309"/>
      <c r="AM64" s="308"/>
      <c r="AN64" s="308"/>
      <c r="AO64" s="308"/>
      <c r="AP64" s="308"/>
      <c r="AQ64" s="308"/>
      <c r="AR64" s="308"/>
      <c r="AS64" s="309"/>
      <c r="AT64" s="309"/>
      <c r="AU64" s="309"/>
      <c r="AV64" s="309"/>
      <c r="AW64" s="309"/>
      <c r="AX64" s="309"/>
      <c r="AY64" s="309"/>
      <c r="AZ64" s="309"/>
      <c r="BA64" s="309"/>
      <c r="BB64" s="309"/>
      <c r="BC64" s="309"/>
      <c r="BD64" s="309"/>
    </row>
    <row r="65" spans="4:56">
      <c r="D65" s="15" t="s">
        <v>525</v>
      </c>
      <c r="E65" s="314" t="s">
        <v>526</v>
      </c>
      <c r="F65" s="314"/>
      <c r="G65" s="314"/>
      <c r="H65" s="314"/>
      <c r="I65" s="314"/>
      <c r="J65" s="314"/>
      <c r="K65" s="314"/>
      <c r="L65" s="314"/>
      <c r="M65" s="314"/>
      <c r="N65" s="314"/>
      <c r="O65" s="314"/>
      <c r="P65" s="314"/>
      <c r="Q65" s="314"/>
      <c r="R65" s="314"/>
      <c r="S65" s="314"/>
      <c r="T65" s="314"/>
      <c r="U65" s="314"/>
      <c r="V65" s="314"/>
      <c r="W65" s="314"/>
      <c r="X65" s="314"/>
      <c r="Y65" s="314"/>
      <c r="Z65" s="314"/>
      <c r="AA65" s="314"/>
      <c r="AB65" s="314"/>
      <c r="AC65" s="314"/>
      <c r="AD65" s="314"/>
      <c r="AE65" s="314"/>
      <c r="AF65" s="314"/>
      <c r="AG65" s="314"/>
      <c r="AH65" s="314"/>
      <c r="AI65" s="314"/>
      <c r="AJ65" s="314"/>
      <c r="AK65" s="314"/>
      <c r="AL65" s="315"/>
      <c r="AM65" s="308"/>
      <c r="AN65" s="308"/>
      <c r="AO65" s="308"/>
      <c r="AP65" s="308"/>
      <c r="AQ65" s="308"/>
      <c r="AR65" s="308"/>
      <c r="AS65" s="309"/>
      <c r="AT65" s="309"/>
      <c r="AU65" s="309"/>
      <c r="AV65" s="309"/>
      <c r="AW65" s="309"/>
      <c r="AX65" s="309"/>
      <c r="AY65" s="309"/>
      <c r="AZ65" s="309"/>
      <c r="BA65" s="309"/>
      <c r="BB65" s="309"/>
      <c r="BC65" s="309"/>
      <c r="BD65" s="309"/>
    </row>
    <row r="66" spans="4:56">
      <c r="D66" s="46" t="s">
        <v>527</v>
      </c>
      <c r="E66" s="259" t="s">
        <v>528</v>
      </c>
      <c r="F66" s="259"/>
      <c r="G66" s="259"/>
      <c r="H66" s="259"/>
      <c r="I66" s="259"/>
      <c r="J66" s="259"/>
      <c r="K66" s="259"/>
      <c r="L66" s="259"/>
      <c r="M66" s="259"/>
      <c r="N66" s="259"/>
      <c r="O66" s="259"/>
      <c r="P66" s="259"/>
      <c r="Q66" s="259"/>
      <c r="R66" s="259"/>
      <c r="S66" s="259"/>
      <c r="T66" s="259"/>
      <c r="U66" s="259"/>
      <c r="V66" s="259"/>
      <c r="W66" s="259"/>
      <c r="X66" s="259"/>
      <c r="Y66" s="259"/>
      <c r="Z66" s="259"/>
      <c r="AA66" s="259"/>
      <c r="AB66" s="259"/>
      <c r="AC66" s="259"/>
      <c r="AD66" s="259"/>
      <c r="AE66" s="259"/>
      <c r="AF66" s="259"/>
      <c r="AG66" s="259"/>
      <c r="AH66" s="259"/>
      <c r="AI66" s="259"/>
      <c r="AJ66" s="259"/>
      <c r="AK66" s="259"/>
      <c r="AL66" s="307"/>
      <c r="AM66" s="308"/>
      <c r="AN66" s="308"/>
      <c r="AO66" s="308"/>
      <c r="AP66" s="308"/>
      <c r="AQ66" s="308"/>
      <c r="AR66" s="308"/>
      <c r="AS66" s="309"/>
      <c r="AT66" s="309"/>
      <c r="AU66" s="309"/>
      <c r="AV66" s="309"/>
      <c r="AW66" s="309"/>
      <c r="AX66" s="309"/>
      <c r="AY66" s="309"/>
      <c r="AZ66" s="309"/>
      <c r="BA66" s="309"/>
      <c r="BB66" s="309"/>
      <c r="BC66" s="309"/>
      <c r="BD66" s="309"/>
    </row>
    <row r="67" spans="4:56">
      <c r="D67" s="46" t="s">
        <v>529</v>
      </c>
      <c r="E67" s="259" t="s">
        <v>530</v>
      </c>
      <c r="F67" s="259"/>
      <c r="G67" s="259"/>
      <c r="H67" s="259"/>
      <c r="I67" s="259"/>
      <c r="J67" s="259"/>
      <c r="K67" s="259"/>
      <c r="L67" s="259"/>
      <c r="M67" s="259"/>
      <c r="N67" s="259"/>
      <c r="O67" s="259"/>
      <c r="P67" s="259"/>
      <c r="Q67" s="259"/>
      <c r="R67" s="259"/>
      <c r="S67" s="259"/>
      <c r="T67" s="259"/>
      <c r="U67" s="259"/>
      <c r="V67" s="259"/>
      <c r="W67" s="259"/>
      <c r="X67" s="259"/>
      <c r="Y67" s="259"/>
      <c r="Z67" s="259"/>
      <c r="AA67" s="259"/>
      <c r="AB67" s="259"/>
      <c r="AC67" s="259"/>
      <c r="AD67" s="259"/>
      <c r="AE67" s="259"/>
      <c r="AF67" s="259"/>
      <c r="AG67" s="259"/>
      <c r="AH67" s="259"/>
      <c r="AI67" s="259"/>
      <c r="AJ67" s="259"/>
      <c r="AK67" s="259"/>
      <c r="AL67" s="307"/>
      <c r="AM67" s="308"/>
      <c r="AN67" s="308"/>
      <c r="AO67" s="308"/>
      <c r="AP67" s="308"/>
      <c r="AQ67" s="308"/>
      <c r="AR67" s="308"/>
      <c r="AS67" s="309"/>
      <c r="AT67" s="309"/>
      <c r="AU67" s="309"/>
      <c r="AV67" s="309"/>
      <c r="AW67" s="309"/>
      <c r="AX67" s="309"/>
      <c r="AY67" s="309"/>
      <c r="AZ67" s="309"/>
      <c r="BA67" s="309"/>
      <c r="BB67" s="309"/>
      <c r="BC67" s="309"/>
      <c r="BD67" s="309"/>
    </row>
    <row r="69" spans="4:56">
      <c r="AZ69" s="131" t="s">
        <v>364</v>
      </c>
      <c r="BA69" s="131"/>
      <c r="BB69" s="131"/>
    </row>
    <row r="70" spans="4:56">
      <c r="AZ70" s="131"/>
      <c r="BA70" s="131"/>
      <c r="BB70" s="131"/>
    </row>
    <row r="1048576" spans="4:4">
      <c r="D1048576" s="1">
        <v>1</v>
      </c>
    </row>
  </sheetData>
  <mergeCells count="402">
    <mergeCell ref="AU7:BD7"/>
    <mergeCell ref="AG15:AI15"/>
    <mergeCell ref="AJ15:AL15"/>
    <mergeCell ref="AM15:AR15"/>
    <mergeCell ref="D16:F16"/>
    <mergeCell ref="G16:R16"/>
    <mergeCell ref="S16:V16"/>
    <mergeCell ref="W16:AA16"/>
    <mergeCell ref="AB16:AF16"/>
    <mergeCell ref="AG16:AI16"/>
    <mergeCell ref="AJ16:AL16"/>
    <mergeCell ref="AM16:AR16"/>
    <mergeCell ref="AS16:BD16"/>
    <mergeCell ref="D17:F17"/>
    <mergeCell ref="S17:V17"/>
    <mergeCell ref="W17:AA17"/>
    <mergeCell ref="AB17:AF17"/>
    <mergeCell ref="AG17:AI17"/>
    <mergeCell ref="AJ17:AL17"/>
    <mergeCell ref="AM17:AR17"/>
    <mergeCell ref="AS17:BD17"/>
    <mergeCell ref="D18:F18"/>
    <mergeCell ref="S18:V18"/>
    <mergeCell ref="W18:AA18"/>
    <mergeCell ref="AB18:AF18"/>
    <mergeCell ref="AG18:AI18"/>
    <mergeCell ref="AJ18:AL18"/>
    <mergeCell ref="AM18:AR18"/>
    <mergeCell ref="AS18:BD18"/>
    <mergeCell ref="D19:F19"/>
    <mergeCell ref="S19:V19"/>
    <mergeCell ref="W19:AA19"/>
    <mergeCell ref="AB19:AF19"/>
    <mergeCell ref="AG19:AI19"/>
    <mergeCell ref="AJ19:AL19"/>
    <mergeCell ref="AM19:AR19"/>
    <mergeCell ref="AS19:BD19"/>
    <mergeCell ref="D20:F20"/>
    <mergeCell ref="S20:V20"/>
    <mergeCell ref="W20:AA20"/>
    <mergeCell ref="AB20:AF20"/>
    <mergeCell ref="AG20:AI20"/>
    <mergeCell ref="AJ20:AL20"/>
    <mergeCell ref="AM20:AR20"/>
    <mergeCell ref="AS20:BD20"/>
    <mergeCell ref="D21:F21"/>
    <mergeCell ref="S21:V21"/>
    <mergeCell ref="W21:AA21"/>
    <mergeCell ref="AB21:AF21"/>
    <mergeCell ref="AG21:AI21"/>
    <mergeCell ref="AJ21:AL21"/>
    <mergeCell ref="AM21:AR21"/>
    <mergeCell ref="AS21:BD21"/>
    <mergeCell ref="D22:F22"/>
    <mergeCell ref="S22:V22"/>
    <mergeCell ref="W22:AA22"/>
    <mergeCell ref="AB22:AF22"/>
    <mergeCell ref="AG22:AI22"/>
    <mergeCell ref="AJ22:AL22"/>
    <mergeCell ref="AM22:AR22"/>
    <mergeCell ref="AS22:BD22"/>
    <mergeCell ref="D23:F23"/>
    <mergeCell ref="S23:V23"/>
    <mergeCell ref="W23:AA23"/>
    <mergeCell ref="AB23:AF23"/>
    <mergeCell ref="AG23:AI23"/>
    <mergeCell ref="AJ23:AL23"/>
    <mergeCell ref="AM23:AR23"/>
    <mergeCell ref="AS23:BD23"/>
    <mergeCell ref="D24:F24"/>
    <mergeCell ref="S24:V24"/>
    <mergeCell ref="W24:AA24"/>
    <mergeCell ref="AB24:AF24"/>
    <mergeCell ref="AG24:AI24"/>
    <mergeCell ref="AJ24:AL24"/>
    <mergeCell ref="AM24:AR24"/>
    <mergeCell ref="AS24:BD24"/>
    <mergeCell ref="D25:F25"/>
    <mergeCell ref="S25:V25"/>
    <mergeCell ref="W25:AA25"/>
    <mergeCell ref="AB25:AF25"/>
    <mergeCell ref="AG25:AI25"/>
    <mergeCell ref="AJ25:AL25"/>
    <mergeCell ref="AM25:AR25"/>
    <mergeCell ref="AS25:BD25"/>
    <mergeCell ref="D26:F26"/>
    <mergeCell ref="S26:V26"/>
    <mergeCell ref="W26:AA26"/>
    <mergeCell ref="AB26:AF26"/>
    <mergeCell ref="AG26:AI26"/>
    <mergeCell ref="AJ26:AL26"/>
    <mergeCell ref="AM26:AR26"/>
    <mergeCell ref="AS26:BD26"/>
    <mergeCell ref="D27:F27"/>
    <mergeCell ref="S27:V27"/>
    <mergeCell ref="W27:AA27"/>
    <mergeCell ref="AB27:AF27"/>
    <mergeCell ref="AG27:AI27"/>
    <mergeCell ref="AJ27:AL27"/>
    <mergeCell ref="AM27:AR27"/>
    <mergeCell ref="AS27:BD27"/>
    <mergeCell ref="D28:F28"/>
    <mergeCell ref="S28:V28"/>
    <mergeCell ref="W28:AA28"/>
    <mergeCell ref="AB28:AF28"/>
    <mergeCell ref="AG28:AI28"/>
    <mergeCell ref="AJ28:AL28"/>
    <mergeCell ref="AM28:AR28"/>
    <mergeCell ref="AS28:BD28"/>
    <mergeCell ref="D29:F29"/>
    <mergeCell ref="S29:V29"/>
    <mergeCell ref="W29:AA29"/>
    <mergeCell ref="AB29:AF29"/>
    <mergeCell ref="AG29:AI29"/>
    <mergeCell ref="AJ29:AL29"/>
    <mergeCell ref="AM29:AR29"/>
    <mergeCell ref="AS29:BD29"/>
    <mergeCell ref="D30:F30"/>
    <mergeCell ref="S30:V30"/>
    <mergeCell ref="W30:AA30"/>
    <mergeCell ref="AB30:AF30"/>
    <mergeCell ref="AG30:AI30"/>
    <mergeCell ref="AJ30:AL30"/>
    <mergeCell ref="AM30:AR30"/>
    <mergeCell ref="AS30:BD30"/>
    <mergeCell ref="D31:F31"/>
    <mergeCell ref="S31:V31"/>
    <mergeCell ref="W31:AA31"/>
    <mergeCell ref="AB31:AF31"/>
    <mergeCell ref="AG31:AI31"/>
    <mergeCell ref="AJ31:AL31"/>
    <mergeCell ref="AM31:AR31"/>
    <mergeCell ref="AS31:BD31"/>
    <mergeCell ref="D32:F32"/>
    <mergeCell ref="S32:V32"/>
    <mergeCell ref="W32:AA32"/>
    <mergeCell ref="AB32:AF32"/>
    <mergeCell ref="AG32:AI32"/>
    <mergeCell ref="AJ32:AL32"/>
    <mergeCell ref="AM32:AR32"/>
    <mergeCell ref="AS32:BD32"/>
    <mergeCell ref="D33:F33"/>
    <mergeCell ref="S33:V33"/>
    <mergeCell ref="W33:AA33"/>
    <mergeCell ref="AB33:AF33"/>
    <mergeCell ref="AG33:AI33"/>
    <mergeCell ref="AJ33:AL33"/>
    <mergeCell ref="AM33:AR33"/>
    <mergeCell ref="AS33:BD33"/>
    <mergeCell ref="D34:F34"/>
    <mergeCell ref="S34:V34"/>
    <mergeCell ref="W34:AA34"/>
    <mergeCell ref="AB34:AF34"/>
    <mergeCell ref="AG34:AI34"/>
    <mergeCell ref="AJ34:AL34"/>
    <mergeCell ref="AM34:AR34"/>
    <mergeCell ref="AS34:BD34"/>
    <mergeCell ref="D35:F35"/>
    <mergeCell ref="S35:V35"/>
    <mergeCell ref="W35:AA35"/>
    <mergeCell ref="AB35:AF35"/>
    <mergeCell ref="AG35:AI35"/>
    <mergeCell ref="AJ35:AL35"/>
    <mergeCell ref="AM35:AR35"/>
    <mergeCell ref="AS35:BD35"/>
    <mergeCell ref="D36:F36"/>
    <mergeCell ref="S36:V36"/>
    <mergeCell ref="W36:AA36"/>
    <mergeCell ref="AB36:AF36"/>
    <mergeCell ref="AG36:AI36"/>
    <mergeCell ref="AJ36:AL36"/>
    <mergeCell ref="AM36:AR36"/>
    <mergeCell ref="AS36:BD36"/>
    <mergeCell ref="D37:F37"/>
    <mergeCell ref="S37:V37"/>
    <mergeCell ref="W37:AA37"/>
    <mergeCell ref="AB37:AF37"/>
    <mergeCell ref="AG37:AI37"/>
    <mergeCell ref="AJ37:AL37"/>
    <mergeCell ref="AM37:AR37"/>
    <mergeCell ref="AS37:BD37"/>
    <mergeCell ref="D38:F38"/>
    <mergeCell ref="S38:V38"/>
    <mergeCell ref="W38:AA38"/>
    <mergeCell ref="AB38:AF38"/>
    <mergeCell ref="AG38:AI38"/>
    <mergeCell ref="AJ38:AL38"/>
    <mergeCell ref="AM38:AR38"/>
    <mergeCell ref="AS38:BD38"/>
    <mergeCell ref="D39:F39"/>
    <mergeCell ref="S39:V39"/>
    <mergeCell ref="W39:AA39"/>
    <mergeCell ref="AB39:AF39"/>
    <mergeCell ref="AG39:AI39"/>
    <mergeCell ref="AJ39:AL39"/>
    <mergeCell ref="AM39:AR39"/>
    <mergeCell ref="AS39:BD39"/>
    <mergeCell ref="D40:F40"/>
    <mergeCell ref="S40:V40"/>
    <mergeCell ref="W40:AA40"/>
    <mergeCell ref="AB40:AF40"/>
    <mergeCell ref="AG40:AI40"/>
    <mergeCell ref="AJ40:AL40"/>
    <mergeCell ref="AM40:AR40"/>
    <mergeCell ref="AS40:BD40"/>
    <mergeCell ref="E41:AL41"/>
    <mergeCell ref="AM41:AR41"/>
    <mergeCell ref="AS41:BD41"/>
    <mergeCell ref="E42:AL42"/>
    <mergeCell ref="AM42:AR42"/>
    <mergeCell ref="AS42:BD42"/>
    <mergeCell ref="E43:AL43"/>
    <mergeCell ref="AM43:AR43"/>
    <mergeCell ref="AS43:BD43"/>
    <mergeCell ref="D44:F44"/>
    <mergeCell ref="S44:V44"/>
    <mergeCell ref="W44:AA44"/>
    <mergeCell ref="AB44:AF44"/>
    <mergeCell ref="AG44:AI44"/>
    <mergeCell ref="AJ44:AL44"/>
    <mergeCell ref="AM44:AR44"/>
    <mergeCell ref="AS44:BD44"/>
    <mergeCell ref="D45:F45"/>
    <mergeCell ref="S45:V45"/>
    <mergeCell ref="W45:AA45"/>
    <mergeCell ref="AB45:AF45"/>
    <mergeCell ref="AG45:AI45"/>
    <mergeCell ref="AJ45:AL45"/>
    <mergeCell ref="AM45:AR45"/>
    <mergeCell ref="AS45:BD45"/>
    <mergeCell ref="D46:F46"/>
    <mergeCell ref="S46:V46"/>
    <mergeCell ref="W46:AA46"/>
    <mergeCell ref="AB46:AF46"/>
    <mergeCell ref="AG46:AI46"/>
    <mergeCell ref="AJ46:AL46"/>
    <mergeCell ref="AM46:AR46"/>
    <mergeCell ref="AS46:BD46"/>
    <mergeCell ref="D47:F47"/>
    <mergeCell ref="S47:V47"/>
    <mergeCell ref="W47:AA47"/>
    <mergeCell ref="AB47:AF47"/>
    <mergeCell ref="AG47:AI47"/>
    <mergeCell ref="AJ47:AL47"/>
    <mergeCell ref="AM47:AR47"/>
    <mergeCell ref="AS47:BD47"/>
    <mergeCell ref="D48:F48"/>
    <mergeCell ref="S48:V48"/>
    <mergeCell ref="W48:AA48"/>
    <mergeCell ref="AB48:AF48"/>
    <mergeCell ref="AG48:AI48"/>
    <mergeCell ref="AJ48:AL48"/>
    <mergeCell ref="AM48:AR48"/>
    <mergeCell ref="AS48:BD48"/>
    <mergeCell ref="D49:F49"/>
    <mergeCell ref="S49:V49"/>
    <mergeCell ref="W49:AA49"/>
    <mergeCell ref="AB49:AF49"/>
    <mergeCell ref="AG49:AI49"/>
    <mergeCell ref="AJ49:AL49"/>
    <mergeCell ref="AM49:AR49"/>
    <mergeCell ref="AS49:BD49"/>
    <mergeCell ref="D50:F50"/>
    <mergeCell ref="S50:V50"/>
    <mergeCell ref="W50:AA50"/>
    <mergeCell ref="AB50:AF50"/>
    <mergeCell ref="AG50:AI50"/>
    <mergeCell ref="AJ50:AL50"/>
    <mergeCell ref="AM50:AR50"/>
    <mergeCell ref="AS50:BD50"/>
    <mergeCell ref="D51:F51"/>
    <mergeCell ref="S51:V51"/>
    <mergeCell ref="W51:AA51"/>
    <mergeCell ref="AB51:AF51"/>
    <mergeCell ref="AG51:AI51"/>
    <mergeCell ref="AJ51:AL51"/>
    <mergeCell ref="AM51:AR51"/>
    <mergeCell ref="AS51:BD51"/>
    <mergeCell ref="D52:F52"/>
    <mergeCell ref="S52:V52"/>
    <mergeCell ref="W52:AA52"/>
    <mergeCell ref="AB52:AF52"/>
    <mergeCell ref="AG52:AI52"/>
    <mergeCell ref="AJ52:AL52"/>
    <mergeCell ref="AM52:AR52"/>
    <mergeCell ref="AS52:BD52"/>
    <mergeCell ref="D53:F53"/>
    <mergeCell ref="S53:V53"/>
    <mergeCell ref="W53:AA53"/>
    <mergeCell ref="AB53:AF53"/>
    <mergeCell ref="AG53:AI53"/>
    <mergeCell ref="AJ53:AL53"/>
    <mergeCell ref="AM53:AR53"/>
    <mergeCell ref="AS53:BD53"/>
    <mergeCell ref="D54:F54"/>
    <mergeCell ref="S54:V54"/>
    <mergeCell ref="W54:AA54"/>
    <mergeCell ref="AB54:AF54"/>
    <mergeCell ref="AG54:AI54"/>
    <mergeCell ref="AJ54:AL54"/>
    <mergeCell ref="AM54:AR54"/>
    <mergeCell ref="AS54:BD54"/>
    <mergeCell ref="D55:F55"/>
    <mergeCell ref="S55:V55"/>
    <mergeCell ref="W55:AA55"/>
    <mergeCell ref="AB55:AF55"/>
    <mergeCell ref="AG55:AI55"/>
    <mergeCell ref="AJ55:AL55"/>
    <mergeCell ref="AM55:AR55"/>
    <mergeCell ref="AS55:BD55"/>
    <mergeCell ref="D56:F56"/>
    <mergeCell ref="S56:V56"/>
    <mergeCell ref="W56:AA56"/>
    <mergeCell ref="AB56:AF56"/>
    <mergeCell ref="AG56:AI56"/>
    <mergeCell ref="AJ56:AL56"/>
    <mergeCell ref="AM56:AR56"/>
    <mergeCell ref="AS56:BD56"/>
    <mergeCell ref="D57:F57"/>
    <mergeCell ref="S57:V57"/>
    <mergeCell ref="W57:AA57"/>
    <mergeCell ref="AB57:AF57"/>
    <mergeCell ref="AG57:AI57"/>
    <mergeCell ref="AJ57:AL57"/>
    <mergeCell ref="AM57:AR57"/>
    <mergeCell ref="AS57:BD57"/>
    <mergeCell ref="D58:F58"/>
    <mergeCell ref="S58:V58"/>
    <mergeCell ref="W58:AA58"/>
    <mergeCell ref="AB58:AF58"/>
    <mergeCell ref="AG58:AI58"/>
    <mergeCell ref="AJ58:AL58"/>
    <mergeCell ref="AM58:AR58"/>
    <mergeCell ref="AS58:BD58"/>
    <mergeCell ref="D59:F59"/>
    <mergeCell ref="S59:V59"/>
    <mergeCell ref="W59:AA59"/>
    <mergeCell ref="AB59:AF59"/>
    <mergeCell ref="AG59:AI59"/>
    <mergeCell ref="AJ59:AL59"/>
    <mergeCell ref="AM59:AR59"/>
    <mergeCell ref="AS59:BD59"/>
    <mergeCell ref="D60:F60"/>
    <mergeCell ref="S60:V60"/>
    <mergeCell ref="W60:AA60"/>
    <mergeCell ref="AB60:AF60"/>
    <mergeCell ref="AG60:AI60"/>
    <mergeCell ref="AJ60:AL60"/>
    <mergeCell ref="AM60:AR60"/>
    <mergeCell ref="AS60:BD60"/>
    <mergeCell ref="D61:F61"/>
    <mergeCell ref="S61:V61"/>
    <mergeCell ref="W61:AA61"/>
    <mergeCell ref="AB61:AF61"/>
    <mergeCell ref="AG61:AI61"/>
    <mergeCell ref="AJ61:AL61"/>
    <mergeCell ref="AM61:AR61"/>
    <mergeCell ref="AS61:BD61"/>
    <mergeCell ref="AS64:BD64"/>
    <mergeCell ref="E65:AL65"/>
    <mergeCell ref="AM65:AR65"/>
    <mergeCell ref="AS65:BD65"/>
    <mergeCell ref="D62:F62"/>
    <mergeCell ref="S62:V62"/>
    <mergeCell ref="W62:AA62"/>
    <mergeCell ref="AB62:AF62"/>
    <mergeCell ref="AG62:AI62"/>
    <mergeCell ref="AJ62:AL62"/>
    <mergeCell ref="AM62:AR62"/>
    <mergeCell ref="AS62:BD62"/>
    <mergeCell ref="D63:F63"/>
    <mergeCell ref="S63:V63"/>
    <mergeCell ref="W63:AA63"/>
    <mergeCell ref="AB63:AF63"/>
    <mergeCell ref="AG63:AI63"/>
    <mergeCell ref="AJ63:AL63"/>
    <mergeCell ref="AM63:AR63"/>
    <mergeCell ref="AS63:BD63"/>
    <mergeCell ref="AZ69:BB70"/>
    <mergeCell ref="E66:AL66"/>
    <mergeCell ref="AM66:AR66"/>
    <mergeCell ref="AS66:BD66"/>
    <mergeCell ref="E67:AL67"/>
    <mergeCell ref="AM67:AR67"/>
    <mergeCell ref="AS67:BD67"/>
    <mergeCell ref="D5:L11"/>
    <mergeCell ref="D13:F15"/>
    <mergeCell ref="G13:R15"/>
    <mergeCell ref="S13:V15"/>
    <mergeCell ref="W13:AA15"/>
    <mergeCell ref="AB13:AF15"/>
    <mergeCell ref="AG13:AL14"/>
    <mergeCell ref="AM13:AR14"/>
    <mergeCell ref="AU3:BD5"/>
    <mergeCell ref="AS13:BD15"/>
    <mergeCell ref="D64:F64"/>
    <mergeCell ref="S64:V64"/>
    <mergeCell ref="W64:AA64"/>
    <mergeCell ref="AB64:AF64"/>
    <mergeCell ref="AG64:AI64"/>
    <mergeCell ref="AJ64:AL64"/>
    <mergeCell ref="AM64:AR64"/>
  </mergeCells>
  <hyperlinks>
    <hyperlink ref="AZ69:BB70" location="INDUK2!A1" display="HOME" xr:uid="{00000000-0004-0000-0C00-000000000000}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D3:AX101"/>
  <sheetViews>
    <sheetView zoomScale="70" zoomScaleNormal="70" workbookViewId="0">
      <selection activeCell="BC22" sqref="BC22"/>
    </sheetView>
  </sheetViews>
  <sheetFormatPr defaultColWidth="9.1796875" defaultRowHeight="11.5"/>
  <cols>
    <col min="1" max="2" width="9.1796875" style="1"/>
    <col min="3" max="84" width="3.453125" style="1" customWidth="1"/>
    <col min="85" max="16384" width="9.1796875" style="1"/>
  </cols>
  <sheetData>
    <row r="3" spans="4:50" ht="15.5">
      <c r="D3" s="3"/>
      <c r="E3" s="4"/>
      <c r="F3" s="4"/>
      <c r="G3" s="4"/>
      <c r="H3" s="4"/>
      <c r="I3" s="4"/>
      <c r="J3" s="4"/>
      <c r="K3" s="4"/>
      <c r="L3" s="17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92" t="s">
        <v>531</v>
      </c>
      <c r="AP3" s="192"/>
      <c r="AQ3" s="192"/>
      <c r="AR3" s="192"/>
      <c r="AS3" s="192"/>
      <c r="AT3" s="192"/>
      <c r="AU3" s="192"/>
      <c r="AV3" s="192"/>
      <c r="AW3" s="192"/>
      <c r="AX3" s="193"/>
    </row>
    <row r="4" spans="4:50" ht="18">
      <c r="D4" s="5" t="s">
        <v>184</v>
      </c>
      <c r="E4" s="6"/>
      <c r="F4" s="6"/>
      <c r="G4" s="6"/>
      <c r="H4" s="6"/>
      <c r="I4" s="6"/>
      <c r="J4" s="6"/>
      <c r="K4" s="6"/>
      <c r="L4" s="19"/>
      <c r="M4" s="20"/>
      <c r="N4" s="20"/>
      <c r="O4" s="21" t="s">
        <v>1</v>
      </c>
      <c r="P4" s="20"/>
      <c r="Q4" s="20"/>
      <c r="R4" s="20"/>
      <c r="S4" s="20"/>
      <c r="T4" s="20"/>
      <c r="U4" s="20"/>
      <c r="V4" s="20"/>
      <c r="W4" s="20"/>
      <c r="X4" s="20"/>
      <c r="Y4" s="20"/>
      <c r="Z4" s="29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194"/>
      <c r="AP4" s="194"/>
      <c r="AQ4" s="194"/>
      <c r="AR4" s="194"/>
      <c r="AS4" s="194"/>
      <c r="AT4" s="194"/>
      <c r="AU4" s="194"/>
      <c r="AV4" s="194"/>
      <c r="AW4" s="194"/>
      <c r="AX4" s="195"/>
    </row>
    <row r="5" spans="4:50" ht="14">
      <c r="D5" s="188" t="s">
        <v>532</v>
      </c>
      <c r="E5" s="189"/>
      <c r="F5" s="189"/>
      <c r="G5" s="189"/>
      <c r="H5" s="189"/>
      <c r="I5" s="189"/>
      <c r="J5" s="189"/>
      <c r="K5" s="189"/>
      <c r="L5" s="189"/>
      <c r="M5" s="20"/>
      <c r="N5" s="20"/>
      <c r="O5" s="22" t="s">
        <v>185</v>
      </c>
      <c r="P5" s="20"/>
      <c r="Q5" s="20"/>
      <c r="R5" s="20"/>
      <c r="S5" s="20"/>
      <c r="T5" s="20"/>
      <c r="U5" s="20"/>
      <c r="V5" s="20"/>
      <c r="W5" s="20"/>
      <c r="X5" s="20"/>
      <c r="Y5" s="20"/>
      <c r="Z5" s="29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194"/>
      <c r="AP5" s="194"/>
      <c r="AQ5" s="194"/>
      <c r="AR5" s="194"/>
      <c r="AS5" s="194"/>
      <c r="AT5" s="194"/>
      <c r="AU5" s="194"/>
      <c r="AV5" s="194"/>
      <c r="AW5" s="194"/>
      <c r="AX5" s="195"/>
    </row>
    <row r="6" spans="4:50" ht="3" customHeight="1">
      <c r="D6" s="188"/>
      <c r="E6" s="189"/>
      <c r="F6" s="189"/>
      <c r="G6" s="189"/>
      <c r="H6" s="189"/>
      <c r="I6" s="189"/>
      <c r="J6" s="189"/>
      <c r="K6" s="189"/>
      <c r="L6" s="189"/>
      <c r="M6" s="20"/>
      <c r="N6" s="20"/>
      <c r="O6" s="23"/>
      <c r="P6" s="20"/>
      <c r="Q6" s="20"/>
      <c r="R6" s="20"/>
      <c r="S6" s="20"/>
      <c r="T6" s="20"/>
      <c r="U6" s="20"/>
      <c r="V6" s="20"/>
      <c r="W6" s="20"/>
      <c r="X6" s="20"/>
      <c r="Y6" s="20"/>
      <c r="Z6" s="29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30"/>
      <c r="AS6" s="30"/>
      <c r="AT6" s="30"/>
      <c r="AU6" s="30"/>
      <c r="AV6" s="30"/>
      <c r="AW6" s="30"/>
      <c r="AX6" s="31"/>
    </row>
    <row r="7" spans="4:50">
      <c r="D7" s="188"/>
      <c r="E7" s="189"/>
      <c r="F7" s="189"/>
      <c r="G7" s="189"/>
      <c r="H7" s="189"/>
      <c r="I7" s="189"/>
      <c r="J7" s="189"/>
      <c r="K7" s="189"/>
      <c r="L7" s="189"/>
      <c r="M7" s="20"/>
      <c r="N7" s="20"/>
      <c r="O7" s="23" t="s">
        <v>8</v>
      </c>
      <c r="P7" s="20"/>
      <c r="Q7" s="20"/>
      <c r="R7" s="20"/>
      <c r="S7" s="20"/>
      <c r="T7" s="20"/>
      <c r="U7" s="20"/>
      <c r="V7" s="20"/>
      <c r="W7" s="20"/>
      <c r="X7" s="20"/>
      <c r="Y7" s="20"/>
      <c r="Z7" s="29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186" t="s">
        <v>188</v>
      </c>
      <c r="AP7" s="186"/>
      <c r="AQ7" s="186"/>
      <c r="AR7" s="186"/>
      <c r="AS7" s="186"/>
      <c r="AT7" s="186"/>
      <c r="AU7" s="186"/>
      <c r="AV7" s="186"/>
      <c r="AW7" s="186"/>
      <c r="AX7" s="187"/>
    </row>
    <row r="8" spans="4:50" ht="14">
      <c r="D8" s="188"/>
      <c r="E8" s="189"/>
      <c r="F8" s="189"/>
      <c r="G8" s="189"/>
      <c r="H8" s="189"/>
      <c r="I8" s="189"/>
      <c r="J8" s="189"/>
      <c r="K8" s="189"/>
      <c r="L8" s="189"/>
      <c r="M8" s="20"/>
      <c r="N8" s="20"/>
      <c r="O8" s="24"/>
      <c r="P8" s="39" t="s">
        <v>533</v>
      </c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20"/>
      <c r="AO8" s="20"/>
      <c r="AP8" s="20"/>
      <c r="AQ8" s="20"/>
      <c r="AR8" s="28">
        <f>INDUK1!E14</f>
        <v>2</v>
      </c>
      <c r="AS8" s="28">
        <f>INDUK1!G14</f>
        <v>0</v>
      </c>
      <c r="AT8" s="28">
        <f>INDUK1!I14</f>
        <v>2</v>
      </c>
      <c r="AU8" s="28">
        <f>INDUK1!K14</f>
        <v>5</v>
      </c>
      <c r="AV8" s="30"/>
      <c r="AW8" s="30"/>
      <c r="AX8" s="31"/>
    </row>
    <row r="9" spans="4:50" ht="14">
      <c r="D9" s="188"/>
      <c r="E9" s="189"/>
      <c r="F9" s="189"/>
      <c r="G9" s="189"/>
      <c r="H9" s="189"/>
      <c r="I9" s="189"/>
      <c r="J9" s="189"/>
      <c r="K9" s="189"/>
      <c r="L9" s="189"/>
      <c r="M9" s="20"/>
      <c r="N9" s="20"/>
      <c r="O9" s="25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20"/>
      <c r="AO9" s="20"/>
      <c r="AP9" s="20"/>
      <c r="AQ9" s="20"/>
      <c r="AR9" s="30"/>
      <c r="AS9" s="30"/>
      <c r="AT9" s="30"/>
      <c r="AU9" s="30"/>
      <c r="AV9" s="30"/>
      <c r="AW9" s="30"/>
      <c r="AX9" s="31"/>
    </row>
    <row r="10" spans="4:50" ht="3" customHeight="1">
      <c r="D10" s="188"/>
      <c r="E10" s="189"/>
      <c r="F10" s="189"/>
      <c r="G10" s="189"/>
      <c r="H10" s="189"/>
      <c r="I10" s="189"/>
      <c r="J10" s="189"/>
      <c r="K10" s="189"/>
      <c r="L10" s="189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9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30"/>
      <c r="AS10" s="30"/>
      <c r="AT10" s="30"/>
      <c r="AU10" s="30"/>
      <c r="AV10" s="30"/>
      <c r="AW10" s="30"/>
      <c r="AX10" s="31"/>
    </row>
    <row r="11" spans="4:50" ht="14">
      <c r="D11" s="188"/>
      <c r="E11" s="189"/>
      <c r="F11" s="189"/>
      <c r="G11" s="189"/>
      <c r="H11" s="189"/>
      <c r="I11" s="189"/>
      <c r="J11" s="189"/>
      <c r="K11" s="189"/>
      <c r="L11" s="189"/>
      <c r="M11" s="20"/>
      <c r="N11" s="20"/>
      <c r="O11" s="25"/>
      <c r="P11" s="25" t="s">
        <v>28</v>
      </c>
      <c r="Q11" s="20"/>
      <c r="R11" s="20"/>
      <c r="S11" s="28">
        <f>INDUK1!AF21</f>
        <v>0</v>
      </c>
      <c r="T11" s="28">
        <f>INDUK1!AG21</f>
        <v>0</v>
      </c>
      <c r="U11" s="28">
        <f>INDUK1!AH21</f>
        <v>0</v>
      </c>
      <c r="V11" s="28">
        <f>INDUK1!AI21</f>
        <v>0</v>
      </c>
      <c r="W11" s="28">
        <f>INDUK1!AJ21</f>
        <v>0</v>
      </c>
      <c r="X11" s="28">
        <f>INDUK1!AK21</f>
        <v>0</v>
      </c>
      <c r="Y11" s="28">
        <f>INDUK1!AL21</f>
        <v>0</v>
      </c>
      <c r="Z11" s="28">
        <f>INDUK1!AM21</f>
        <v>0</v>
      </c>
      <c r="AA11" s="28">
        <f>INDUK1!AN21</f>
        <v>0</v>
      </c>
      <c r="AB11" s="28">
        <f>INDUK1!AO21</f>
        <v>0</v>
      </c>
      <c r="AC11" s="28">
        <f>INDUK1!AP21</f>
        <v>0</v>
      </c>
      <c r="AD11" s="28">
        <f>INDUK1!AQ21</f>
        <v>0</v>
      </c>
      <c r="AE11" s="28">
        <f>INDUK1!AR21</f>
        <v>0</v>
      </c>
      <c r="AF11" s="28">
        <f>INDUK1!AS21</f>
        <v>0</v>
      </c>
      <c r="AG11" s="28">
        <f>INDUK1!AT21</f>
        <v>0</v>
      </c>
      <c r="AH11" s="28">
        <f>INDUK1!AU21</f>
        <v>0</v>
      </c>
      <c r="AI11" s="20"/>
      <c r="AJ11" s="20"/>
      <c r="AK11" s="20"/>
      <c r="AL11" s="20"/>
      <c r="AM11" s="20"/>
      <c r="AN11" s="20"/>
      <c r="AO11" s="20"/>
      <c r="AP11" s="20"/>
      <c r="AQ11" s="20"/>
      <c r="AR11" s="30"/>
      <c r="AS11" s="30"/>
      <c r="AT11" s="30"/>
      <c r="AU11" s="30"/>
      <c r="AV11" s="30"/>
      <c r="AW11" s="30"/>
      <c r="AX11" s="31"/>
    </row>
    <row r="12" spans="4:50">
      <c r="D12" s="190"/>
      <c r="E12" s="191"/>
      <c r="F12" s="191"/>
      <c r="G12" s="191"/>
      <c r="H12" s="191"/>
      <c r="I12" s="191"/>
      <c r="J12" s="191"/>
      <c r="K12" s="191"/>
      <c r="L12" s="191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32"/>
    </row>
    <row r="13" spans="4:50" ht="3" customHeight="1"/>
    <row r="14" spans="4:50" ht="12" customHeight="1">
      <c r="D14" s="7" t="s">
        <v>151</v>
      </c>
      <c r="E14" s="8" t="s">
        <v>534</v>
      </c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</row>
    <row r="15" spans="4:50" ht="3" customHeight="1"/>
    <row r="16" spans="4:50">
      <c r="D16" s="151" t="s">
        <v>346</v>
      </c>
      <c r="E16" s="161" t="s">
        <v>535</v>
      </c>
      <c r="F16" s="161"/>
      <c r="G16" s="161"/>
      <c r="H16" s="161"/>
      <c r="I16" s="161"/>
      <c r="J16" s="161"/>
      <c r="K16" s="161"/>
      <c r="L16" s="161"/>
      <c r="M16" s="161"/>
      <c r="N16" s="161"/>
      <c r="O16" s="161"/>
      <c r="P16" s="161"/>
      <c r="Q16" s="161"/>
      <c r="R16" s="161"/>
      <c r="S16" s="161"/>
      <c r="T16" s="161"/>
      <c r="U16" s="161"/>
      <c r="V16" s="161"/>
      <c r="W16" s="161"/>
      <c r="X16" s="161"/>
      <c r="Y16" s="161"/>
      <c r="Z16" s="161"/>
      <c r="AA16" s="161"/>
      <c r="AB16" s="161"/>
      <c r="AC16" s="161"/>
      <c r="AD16" s="161"/>
      <c r="AE16" s="161"/>
      <c r="AF16" s="161"/>
      <c r="AG16" s="161"/>
      <c r="AH16" s="161"/>
      <c r="AI16" s="161"/>
      <c r="AJ16" s="161"/>
      <c r="AK16" s="161"/>
      <c r="AL16" s="161"/>
      <c r="AM16" s="161"/>
      <c r="AN16" s="161"/>
      <c r="AO16" s="161"/>
      <c r="AP16" s="161" t="s">
        <v>536</v>
      </c>
      <c r="AQ16" s="161"/>
      <c r="AR16" s="161"/>
      <c r="AS16" s="161"/>
      <c r="AT16" s="161"/>
      <c r="AU16" s="161"/>
      <c r="AV16" s="161"/>
      <c r="AW16" s="161"/>
      <c r="AX16" s="161"/>
    </row>
    <row r="17" spans="4:50">
      <c r="D17" s="151"/>
      <c r="E17" s="185" t="s">
        <v>537</v>
      </c>
      <c r="F17" s="185"/>
      <c r="G17" s="185"/>
      <c r="H17" s="185"/>
      <c r="I17" s="185"/>
      <c r="J17" s="185"/>
      <c r="K17" s="151" t="s">
        <v>30</v>
      </c>
      <c r="L17" s="151"/>
      <c r="M17" s="151"/>
      <c r="N17" s="151"/>
      <c r="O17" s="151"/>
      <c r="P17" s="151"/>
      <c r="Q17" s="151"/>
      <c r="R17" s="151" t="s">
        <v>347</v>
      </c>
      <c r="S17" s="151"/>
      <c r="T17" s="151"/>
      <c r="U17" s="151"/>
      <c r="V17" s="151"/>
      <c r="W17" s="151"/>
      <c r="X17" s="151" t="s">
        <v>176</v>
      </c>
      <c r="Y17" s="151"/>
      <c r="Z17" s="151"/>
      <c r="AA17" s="151"/>
      <c r="AB17" s="151" t="s">
        <v>538</v>
      </c>
      <c r="AC17" s="151"/>
      <c r="AD17" s="151"/>
      <c r="AE17" s="151"/>
      <c r="AF17" s="185" t="s">
        <v>262</v>
      </c>
      <c r="AG17" s="185"/>
      <c r="AH17" s="185"/>
      <c r="AI17" s="185"/>
      <c r="AJ17" s="151" t="s">
        <v>507</v>
      </c>
      <c r="AK17" s="151"/>
      <c r="AL17" s="151"/>
      <c r="AM17" s="151"/>
      <c r="AN17" s="151"/>
      <c r="AO17" s="151"/>
      <c r="AP17" s="185" t="s">
        <v>539</v>
      </c>
      <c r="AQ17" s="185"/>
      <c r="AR17" s="185"/>
      <c r="AS17" s="185"/>
      <c r="AT17" s="132" t="s">
        <v>540</v>
      </c>
      <c r="AU17" s="132"/>
      <c r="AV17" s="132"/>
      <c r="AW17" s="132"/>
      <c r="AX17" s="132"/>
    </row>
    <row r="18" spans="4:50">
      <c r="D18" s="151"/>
      <c r="E18" s="156" t="s">
        <v>541</v>
      </c>
      <c r="F18" s="156"/>
      <c r="G18" s="156"/>
      <c r="H18" s="156"/>
      <c r="I18" s="156"/>
      <c r="J18" s="156"/>
      <c r="K18" s="151"/>
      <c r="L18" s="151"/>
      <c r="M18" s="151"/>
      <c r="N18" s="151"/>
      <c r="O18" s="151"/>
      <c r="P18" s="151"/>
      <c r="Q18" s="151"/>
      <c r="R18" s="151"/>
      <c r="S18" s="151"/>
      <c r="T18" s="151"/>
      <c r="U18" s="151"/>
      <c r="V18" s="151"/>
      <c r="W18" s="151"/>
      <c r="X18" s="151"/>
      <c r="Y18" s="151"/>
      <c r="Z18" s="151"/>
      <c r="AA18" s="151"/>
      <c r="AB18" s="151"/>
      <c r="AC18" s="151"/>
      <c r="AD18" s="151"/>
      <c r="AE18" s="151"/>
      <c r="AF18" s="156" t="s">
        <v>353</v>
      </c>
      <c r="AG18" s="156"/>
      <c r="AH18" s="156"/>
      <c r="AI18" s="156"/>
      <c r="AJ18" s="151"/>
      <c r="AK18" s="151"/>
      <c r="AL18" s="151"/>
      <c r="AM18" s="151"/>
      <c r="AN18" s="151"/>
      <c r="AO18" s="151"/>
      <c r="AP18" s="156" t="s">
        <v>353</v>
      </c>
      <c r="AQ18" s="156"/>
      <c r="AR18" s="156"/>
      <c r="AS18" s="156"/>
      <c r="AT18" s="132"/>
      <c r="AU18" s="132"/>
      <c r="AV18" s="132"/>
      <c r="AW18" s="132"/>
      <c r="AX18" s="132"/>
    </row>
    <row r="19" spans="4:50">
      <c r="D19" s="151"/>
      <c r="E19" s="151"/>
      <c r="F19" s="151"/>
      <c r="G19" s="151"/>
      <c r="H19" s="151"/>
      <c r="I19" s="151"/>
      <c r="J19" s="151"/>
      <c r="K19" s="151"/>
      <c r="L19" s="151"/>
      <c r="M19" s="151"/>
      <c r="N19" s="151"/>
      <c r="O19" s="151"/>
      <c r="P19" s="151"/>
      <c r="Q19" s="151"/>
      <c r="R19" s="151"/>
      <c r="S19" s="151"/>
      <c r="T19" s="151"/>
      <c r="U19" s="151"/>
      <c r="V19" s="151"/>
      <c r="W19" s="151"/>
      <c r="X19" s="151"/>
      <c r="Y19" s="151"/>
      <c r="Z19" s="151"/>
      <c r="AA19" s="151"/>
      <c r="AB19" s="151"/>
      <c r="AC19" s="151"/>
      <c r="AD19" s="151"/>
      <c r="AE19" s="151"/>
      <c r="AF19" s="151"/>
      <c r="AG19" s="151"/>
      <c r="AH19" s="151"/>
      <c r="AI19" s="151"/>
      <c r="AJ19" s="151"/>
      <c r="AK19" s="151"/>
      <c r="AL19" s="151"/>
      <c r="AM19" s="151"/>
      <c r="AN19" s="151"/>
      <c r="AO19" s="151"/>
      <c r="AP19" s="151"/>
      <c r="AQ19" s="151"/>
      <c r="AR19" s="151"/>
      <c r="AS19" s="151"/>
      <c r="AT19" s="132"/>
      <c r="AU19" s="132"/>
      <c r="AV19" s="132"/>
      <c r="AW19" s="132"/>
      <c r="AX19" s="132"/>
    </row>
    <row r="20" spans="4:50">
      <c r="D20" s="129" t="s">
        <v>201</v>
      </c>
      <c r="E20" s="158" t="s">
        <v>202</v>
      </c>
      <c r="F20" s="159"/>
      <c r="G20" s="159"/>
      <c r="H20" s="159"/>
      <c r="I20" s="159"/>
      <c r="J20" s="159"/>
      <c r="K20" s="158" t="s">
        <v>203</v>
      </c>
      <c r="L20" s="159"/>
      <c r="M20" s="159"/>
      <c r="N20" s="159"/>
      <c r="O20" s="159"/>
      <c r="P20" s="159"/>
      <c r="Q20" s="159"/>
      <c r="R20" s="158" t="s">
        <v>204</v>
      </c>
      <c r="S20" s="159"/>
      <c r="T20" s="159"/>
      <c r="U20" s="159"/>
      <c r="V20" s="159"/>
      <c r="W20" s="159"/>
      <c r="X20" s="158" t="s">
        <v>205</v>
      </c>
      <c r="Y20" s="159"/>
      <c r="Z20" s="159"/>
      <c r="AA20" s="159"/>
      <c r="AB20" s="158" t="s">
        <v>354</v>
      </c>
      <c r="AC20" s="159"/>
      <c r="AD20" s="159"/>
      <c r="AE20" s="159"/>
      <c r="AF20" s="158" t="s">
        <v>207</v>
      </c>
      <c r="AG20" s="159"/>
      <c r="AH20" s="159"/>
      <c r="AI20" s="159"/>
      <c r="AJ20" s="158" t="s">
        <v>208</v>
      </c>
      <c r="AK20" s="159"/>
      <c r="AL20" s="159"/>
      <c r="AM20" s="159"/>
      <c r="AN20" s="159"/>
      <c r="AO20" s="159"/>
      <c r="AP20" s="158" t="s">
        <v>209</v>
      </c>
      <c r="AQ20" s="159"/>
      <c r="AR20" s="159"/>
      <c r="AS20" s="159"/>
      <c r="AT20" s="158" t="s">
        <v>210</v>
      </c>
      <c r="AU20" s="159"/>
      <c r="AV20" s="159"/>
      <c r="AW20" s="159"/>
      <c r="AX20" s="159"/>
    </row>
    <row r="21" spans="4:50">
      <c r="D21" s="35"/>
      <c r="E21" s="175"/>
      <c r="F21" s="175"/>
      <c r="G21" s="175"/>
      <c r="H21" s="175"/>
      <c r="I21" s="175"/>
      <c r="J21" s="175"/>
      <c r="K21" s="175"/>
      <c r="L21" s="175"/>
      <c r="M21" s="175"/>
      <c r="N21" s="175"/>
      <c r="O21" s="175"/>
      <c r="P21" s="175"/>
      <c r="Q21" s="175"/>
      <c r="R21" s="175"/>
      <c r="S21" s="175"/>
      <c r="T21" s="175"/>
      <c r="U21" s="175"/>
      <c r="V21" s="175"/>
      <c r="W21" s="175"/>
      <c r="X21" s="175"/>
      <c r="Y21" s="175"/>
      <c r="Z21" s="175"/>
      <c r="AA21" s="175"/>
      <c r="AB21" s="175"/>
      <c r="AC21" s="175"/>
      <c r="AD21" s="175"/>
      <c r="AE21" s="175"/>
      <c r="AF21" s="177"/>
      <c r="AG21" s="177"/>
      <c r="AH21" s="177"/>
      <c r="AI21" s="177"/>
      <c r="AJ21" s="175"/>
      <c r="AK21" s="175"/>
      <c r="AL21" s="175"/>
      <c r="AM21" s="175"/>
      <c r="AN21" s="175"/>
      <c r="AO21" s="175"/>
      <c r="AP21" s="177"/>
      <c r="AQ21" s="177"/>
      <c r="AR21" s="177"/>
      <c r="AS21" s="177"/>
      <c r="AT21" s="175"/>
      <c r="AU21" s="175"/>
      <c r="AV21" s="175"/>
      <c r="AW21" s="175"/>
      <c r="AX21" s="175"/>
    </row>
    <row r="22" spans="4:50">
      <c r="D22" s="35"/>
      <c r="E22" s="175"/>
      <c r="F22" s="175"/>
      <c r="G22" s="175"/>
      <c r="H22" s="175"/>
      <c r="I22" s="175"/>
      <c r="J22" s="175"/>
      <c r="K22" s="175"/>
      <c r="L22" s="175"/>
      <c r="M22" s="175"/>
      <c r="N22" s="175"/>
      <c r="O22" s="175"/>
      <c r="P22" s="175"/>
      <c r="Q22" s="175"/>
      <c r="R22" s="175"/>
      <c r="S22" s="175"/>
      <c r="T22" s="175"/>
      <c r="U22" s="175"/>
      <c r="V22" s="175"/>
      <c r="W22" s="175"/>
      <c r="X22" s="175"/>
      <c r="Y22" s="175"/>
      <c r="Z22" s="175"/>
      <c r="AA22" s="175"/>
      <c r="AB22" s="175"/>
      <c r="AC22" s="175"/>
      <c r="AD22" s="175"/>
      <c r="AE22" s="175"/>
      <c r="AF22" s="177"/>
      <c r="AG22" s="177"/>
      <c r="AH22" s="177"/>
      <c r="AI22" s="177"/>
      <c r="AJ22" s="175"/>
      <c r="AK22" s="175"/>
      <c r="AL22" s="175"/>
      <c r="AM22" s="175"/>
      <c r="AN22" s="175"/>
      <c r="AO22" s="175"/>
      <c r="AP22" s="177"/>
      <c r="AQ22" s="177"/>
      <c r="AR22" s="177"/>
      <c r="AS22" s="177"/>
      <c r="AT22" s="175"/>
      <c r="AU22" s="175"/>
      <c r="AV22" s="175"/>
      <c r="AW22" s="175"/>
      <c r="AX22" s="175"/>
    </row>
    <row r="23" spans="4:50">
      <c r="D23" s="35"/>
      <c r="E23" s="175"/>
      <c r="F23" s="175"/>
      <c r="G23" s="175"/>
      <c r="H23" s="175"/>
      <c r="I23" s="175"/>
      <c r="J23" s="175"/>
      <c r="K23" s="175"/>
      <c r="L23" s="175"/>
      <c r="M23" s="175"/>
      <c r="N23" s="175"/>
      <c r="O23" s="175"/>
      <c r="P23" s="175"/>
      <c r="Q23" s="175"/>
      <c r="R23" s="175"/>
      <c r="S23" s="175"/>
      <c r="T23" s="175"/>
      <c r="U23" s="175"/>
      <c r="V23" s="175"/>
      <c r="W23" s="175"/>
      <c r="X23" s="175"/>
      <c r="Y23" s="175"/>
      <c r="Z23" s="175"/>
      <c r="AA23" s="175"/>
      <c r="AB23" s="175"/>
      <c r="AC23" s="175"/>
      <c r="AD23" s="175"/>
      <c r="AE23" s="175"/>
      <c r="AF23" s="177"/>
      <c r="AG23" s="177"/>
      <c r="AH23" s="177"/>
      <c r="AI23" s="177"/>
      <c r="AJ23" s="175"/>
      <c r="AK23" s="175"/>
      <c r="AL23" s="175"/>
      <c r="AM23" s="175"/>
      <c r="AN23" s="175"/>
      <c r="AO23" s="175"/>
      <c r="AP23" s="177"/>
      <c r="AQ23" s="177"/>
      <c r="AR23" s="177"/>
      <c r="AS23" s="177"/>
      <c r="AT23" s="175"/>
      <c r="AU23" s="175"/>
      <c r="AV23" s="175"/>
      <c r="AW23" s="175"/>
      <c r="AX23" s="175"/>
    </row>
    <row r="24" spans="4:50">
      <c r="D24" s="35"/>
      <c r="E24" s="175"/>
      <c r="F24" s="175"/>
      <c r="G24" s="175"/>
      <c r="H24" s="175"/>
      <c r="I24" s="175"/>
      <c r="J24" s="175"/>
      <c r="K24" s="175"/>
      <c r="L24" s="175"/>
      <c r="M24" s="175"/>
      <c r="N24" s="175"/>
      <c r="O24" s="175"/>
      <c r="P24" s="175"/>
      <c r="Q24" s="175"/>
      <c r="R24" s="175"/>
      <c r="S24" s="175"/>
      <c r="T24" s="175"/>
      <c r="U24" s="175"/>
      <c r="V24" s="175"/>
      <c r="W24" s="175"/>
      <c r="X24" s="175"/>
      <c r="Y24" s="175"/>
      <c r="Z24" s="175"/>
      <c r="AA24" s="175"/>
      <c r="AB24" s="175"/>
      <c r="AC24" s="175"/>
      <c r="AD24" s="175"/>
      <c r="AE24" s="175"/>
      <c r="AF24" s="177"/>
      <c r="AG24" s="177"/>
      <c r="AH24" s="177"/>
      <c r="AI24" s="177"/>
      <c r="AJ24" s="175"/>
      <c r="AK24" s="175"/>
      <c r="AL24" s="175"/>
      <c r="AM24" s="175"/>
      <c r="AN24" s="175"/>
      <c r="AO24" s="175"/>
      <c r="AP24" s="177"/>
      <c r="AQ24" s="177"/>
      <c r="AR24" s="177"/>
      <c r="AS24" s="177"/>
      <c r="AT24" s="175"/>
      <c r="AU24" s="175"/>
      <c r="AV24" s="175"/>
      <c r="AW24" s="175"/>
      <c r="AX24" s="175"/>
    </row>
    <row r="25" spans="4:50" ht="3" customHeight="1"/>
    <row r="26" spans="4:50" ht="12" customHeight="1">
      <c r="D26" s="7" t="s">
        <v>515</v>
      </c>
      <c r="E26" s="8" t="s">
        <v>542</v>
      </c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</row>
    <row r="27" spans="4:50" ht="3" customHeight="1"/>
    <row r="28" spans="4:50">
      <c r="D28" s="151" t="s">
        <v>346</v>
      </c>
      <c r="E28" s="161" t="s">
        <v>543</v>
      </c>
      <c r="F28" s="161"/>
      <c r="G28" s="161"/>
      <c r="H28" s="161"/>
      <c r="I28" s="161"/>
      <c r="J28" s="161"/>
      <c r="K28" s="161"/>
      <c r="L28" s="161"/>
      <c r="M28" s="161"/>
      <c r="N28" s="161"/>
      <c r="O28" s="161"/>
      <c r="P28" s="161"/>
      <c r="Q28" s="161"/>
      <c r="R28" s="161"/>
      <c r="S28" s="161"/>
      <c r="T28" s="161"/>
      <c r="U28" s="161"/>
      <c r="V28" s="161"/>
      <c r="W28" s="161"/>
      <c r="X28" s="161"/>
      <c r="Y28" s="161"/>
      <c r="Z28" s="161"/>
      <c r="AA28" s="161" t="s">
        <v>544</v>
      </c>
      <c r="AB28" s="161"/>
      <c r="AC28" s="161"/>
      <c r="AD28" s="161"/>
      <c r="AE28" s="161"/>
      <c r="AF28" s="161"/>
      <c r="AG28" s="161"/>
      <c r="AH28" s="161"/>
      <c r="AI28" s="161"/>
      <c r="AJ28" s="161"/>
      <c r="AK28" s="161"/>
      <c r="AL28" s="161"/>
      <c r="AM28" s="161"/>
      <c r="AN28" s="161"/>
      <c r="AO28" s="161"/>
      <c r="AP28" s="161"/>
      <c r="AQ28" s="161"/>
      <c r="AR28" s="161"/>
      <c r="AS28" s="161"/>
      <c r="AT28" s="161"/>
      <c r="AU28" s="132" t="s">
        <v>507</v>
      </c>
      <c r="AV28" s="132"/>
      <c r="AW28" s="132"/>
      <c r="AX28" s="132"/>
    </row>
    <row r="29" spans="4:50">
      <c r="D29" s="151"/>
      <c r="E29" s="151" t="s">
        <v>176</v>
      </c>
      <c r="F29" s="151"/>
      <c r="G29" s="151"/>
      <c r="H29" s="151"/>
      <c r="I29" s="151" t="s">
        <v>545</v>
      </c>
      <c r="J29" s="151"/>
      <c r="K29" s="151"/>
      <c r="L29" s="151"/>
      <c r="M29" s="151" t="s">
        <v>347</v>
      </c>
      <c r="N29" s="151"/>
      <c r="O29" s="151"/>
      <c r="P29" s="151"/>
      <c r="Q29" s="151"/>
      <c r="R29" s="151"/>
      <c r="S29" s="151" t="s">
        <v>546</v>
      </c>
      <c r="T29" s="151"/>
      <c r="U29" s="151"/>
      <c r="V29" s="151"/>
      <c r="W29" s="185" t="s">
        <v>262</v>
      </c>
      <c r="X29" s="185"/>
      <c r="Y29" s="185"/>
      <c r="Z29" s="185"/>
      <c r="AA29" s="151" t="s">
        <v>30</v>
      </c>
      <c r="AB29" s="151"/>
      <c r="AC29" s="151"/>
      <c r="AD29" s="151"/>
      <c r="AE29" s="151"/>
      <c r="AF29" s="151" t="s">
        <v>182</v>
      </c>
      <c r="AG29" s="151"/>
      <c r="AH29" s="151"/>
      <c r="AI29" s="151"/>
      <c r="AJ29" s="151"/>
      <c r="AK29" s="151" t="s">
        <v>547</v>
      </c>
      <c r="AL29" s="151"/>
      <c r="AM29" s="151"/>
      <c r="AN29" s="151"/>
      <c r="AO29" s="151"/>
      <c r="AP29" s="151"/>
      <c r="AQ29" s="132" t="s">
        <v>548</v>
      </c>
      <c r="AR29" s="151"/>
      <c r="AS29" s="151"/>
      <c r="AT29" s="151"/>
      <c r="AU29" s="132"/>
      <c r="AV29" s="132"/>
      <c r="AW29" s="132"/>
      <c r="AX29" s="132"/>
    </row>
    <row r="30" spans="4:50">
      <c r="D30" s="151"/>
      <c r="E30" s="151"/>
      <c r="F30" s="151"/>
      <c r="G30" s="151"/>
      <c r="H30" s="151"/>
      <c r="I30" s="151"/>
      <c r="J30" s="151"/>
      <c r="K30" s="151"/>
      <c r="L30" s="151"/>
      <c r="M30" s="151"/>
      <c r="N30" s="151"/>
      <c r="O30" s="151"/>
      <c r="P30" s="151"/>
      <c r="Q30" s="151"/>
      <c r="R30" s="151"/>
      <c r="S30" s="151"/>
      <c r="T30" s="151"/>
      <c r="U30" s="151"/>
      <c r="V30" s="151"/>
      <c r="W30" s="156" t="s">
        <v>353</v>
      </c>
      <c r="X30" s="156"/>
      <c r="Y30" s="156"/>
      <c r="Z30" s="156"/>
      <c r="AA30" s="151"/>
      <c r="AB30" s="151"/>
      <c r="AC30" s="151"/>
      <c r="AD30" s="151"/>
      <c r="AE30" s="151"/>
      <c r="AF30" s="151"/>
      <c r="AG30" s="151"/>
      <c r="AH30" s="151"/>
      <c r="AI30" s="151"/>
      <c r="AJ30" s="151"/>
      <c r="AK30" s="151"/>
      <c r="AL30" s="151"/>
      <c r="AM30" s="151"/>
      <c r="AN30" s="151"/>
      <c r="AO30" s="151"/>
      <c r="AP30" s="151"/>
      <c r="AQ30" s="151"/>
      <c r="AR30" s="151"/>
      <c r="AS30" s="151"/>
      <c r="AT30" s="151"/>
      <c r="AU30" s="132"/>
      <c r="AV30" s="132"/>
      <c r="AW30" s="132"/>
      <c r="AX30" s="132"/>
    </row>
    <row r="31" spans="4:50">
      <c r="D31" s="151"/>
      <c r="E31" s="151"/>
      <c r="F31" s="151"/>
      <c r="G31" s="151"/>
      <c r="H31" s="151"/>
      <c r="I31" s="151"/>
      <c r="J31" s="151"/>
      <c r="K31" s="151"/>
      <c r="L31" s="151"/>
      <c r="M31" s="151"/>
      <c r="N31" s="151"/>
      <c r="O31" s="151"/>
      <c r="P31" s="151"/>
      <c r="Q31" s="151"/>
      <c r="R31" s="151"/>
      <c r="S31" s="151"/>
      <c r="T31" s="151"/>
      <c r="U31" s="151"/>
      <c r="V31" s="151"/>
      <c r="W31" s="151"/>
      <c r="X31" s="151"/>
      <c r="Y31" s="151"/>
      <c r="Z31" s="151"/>
      <c r="AA31" s="151"/>
      <c r="AB31" s="151"/>
      <c r="AC31" s="151"/>
      <c r="AD31" s="151"/>
      <c r="AE31" s="151"/>
      <c r="AF31" s="151"/>
      <c r="AG31" s="151"/>
      <c r="AH31" s="151"/>
      <c r="AI31" s="151"/>
      <c r="AJ31" s="151"/>
      <c r="AK31" s="151"/>
      <c r="AL31" s="151"/>
      <c r="AM31" s="151"/>
      <c r="AN31" s="151"/>
      <c r="AO31" s="151"/>
      <c r="AP31" s="151"/>
      <c r="AQ31" s="151"/>
      <c r="AR31" s="151"/>
      <c r="AS31" s="151"/>
      <c r="AT31" s="151"/>
      <c r="AU31" s="132"/>
      <c r="AV31" s="132"/>
      <c r="AW31" s="132"/>
      <c r="AX31" s="132"/>
    </row>
    <row r="32" spans="4:50">
      <c r="D32" s="129" t="s">
        <v>201</v>
      </c>
      <c r="E32" s="158" t="s">
        <v>202</v>
      </c>
      <c r="F32" s="159"/>
      <c r="G32" s="159"/>
      <c r="H32" s="159"/>
      <c r="I32" s="158" t="s">
        <v>203</v>
      </c>
      <c r="J32" s="159"/>
      <c r="K32" s="159"/>
      <c r="L32" s="159"/>
      <c r="M32" s="158" t="s">
        <v>204</v>
      </c>
      <c r="N32" s="159"/>
      <c r="O32" s="159"/>
      <c r="P32" s="159"/>
      <c r="Q32" s="159"/>
      <c r="R32" s="159"/>
      <c r="S32" s="158" t="s">
        <v>205</v>
      </c>
      <c r="T32" s="159"/>
      <c r="U32" s="159"/>
      <c r="V32" s="159"/>
      <c r="W32" s="158" t="s">
        <v>354</v>
      </c>
      <c r="X32" s="159"/>
      <c r="Y32" s="159"/>
      <c r="Z32" s="159"/>
      <c r="AA32" s="158" t="s">
        <v>207</v>
      </c>
      <c r="AB32" s="159"/>
      <c r="AC32" s="159"/>
      <c r="AD32" s="159"/>
      <c r="AE32" s="159"/>
      <c r="AF32" s="158" t="s">
        <v>208</v>
      </c>
      <c r="AG32" s="159"/>
      <c r="AH32" s="159"/>
      <c r="AI32" s="159"/>
      <c r="AJ32" s="159"/>
      <c r="AK32" s="158" t="s">
        <v>209</v>
      </c>
      <c r="AL32" s="159"/>
      <c r="AM32" s="159"/>
      <c r="AN32" s="159"/>
      <c r="AO32" s="159"/>
      <c r="AP32" s="159"/>
      <c r="AQ32" s="158" t="s">
        <v>210</v>
      </c>
      <c r="AR32" s="159"/>
      <c r="AS32" s="159"/>
      <c r="AT32" s="159"/>
      <c r="AU32" s="158" t="s">
        <v>361</v>
      </c>
      <c r="AV32" s="159"/>
      <c r="AW32" s="159"/>
      <c r="AX32" s="159"/>
    </row>
    <row r="33" spans="4:50">
      <c r="D33" s="35"/>
      <c r="E33" s="175"/>
      <c r="F33" s="175"/>
      <c r="G33" s="175"/>
      <c r="H33" s="175"/>
      <c r="I33" s="175"/>
      <c r="J33" s="175"/>
      <c r="K33" s="175"/>
      <c r="L33" s="175"/>
      <c r="M33" s="175"/>
      <c r="N33" s="175"/>
      <c r="O33" s="175"/>
      <c r="P33" s="175"/>
      <c r="Q33" s="175"/>
      <c r="R33" s="175"/>
      <c r="S33" s="175"/>
      <c r="T33" s="175"/>
      <c r="U33" s="175"/>
      <c r="V33" s="175"/>
      <c r="W33" s="177"/>
      <c r="X33" s="177"/>
      <c r="Y33" s="177"/>
      <c r="Z33" s="177"/>
      <c r="AA33" s="175"/>
      <c r="AB33" s="175"/>
      <c r="AC33" s="175"/>
      <c r="AD33" s="175"/>
      <c r="AE33" s="175"/>
      <c r="AF33" s="175"/>
      <c r="AG33" s="175"/>
      <c r="AH33" s="175"/>
      <c r="AI33" s="175"/>
      <c r="AJ33" s="175"/>
      <c r="AK33" s="175"/>
      <c r="AL33" s="175"/>
      <c r="AM33" s="175"/>
      <c r="AN33" s="175"/>
      <c r="AO33" s="175"/>
      <c r="AP33" s="175"/>
      <c r="AQ33" s="177"/>
      <c r="AR33" s="177"/>
      <c r="AS33" s="177"/>
      <c r="AT33" s="177"/>
      <c r="AU33" s="177"/>
      <c r="AV33" s="177"/>
      <c r="AW33" s="177"/>
      <c r="AX33" s="177"/>
    </row>
    <row r="34" spans="4:50">
      <c r="D34" s="35"/>
      <c r="E34" s="175"/>
      <c r="F34" s="175"/>
      <c r="G34" s="175"/>
      <c r="H34" s="175"/>
      <c r="I34" s="175"/>
      <c r="J34" s="175"/>
      <c r="K34" s="175"/>
      <c r="L34" s="175"/>
      <c r="M34" s="175"/>
      <c r="N34" s="175"/>
      <c r="O34" s="175"/>
      <c r="P34" s="175"/>
      <c r="Q34" s="175"/>
      <c r="R34" s="175"/>
      <c r="S34" s="175"/>
      <c r="T34" s="175"/>
      <c r="U34" s="175"/>
      <c r="V34" s="175"/>
      <c r="W34" s="177"/>
      <c r="X34" s="177"/>
      <c r="Y34" s="177"/>
      <c r="Z34" s="177"/>
      <c r="AA34" s="175"/>
      <c r="AB34" s="175"/>
      <c r="AC34" s="175"/>
      <c r="AD34" s="175"/>
      <c r="AE34" s="175"/>
      <c r="AF34" s="175"/>
      <c r="AG34" s="175"/>
      <c r="AH34" s="175"/>
      <c r="AI34" s="175"/>
      <c r="AJ34" s="175"/>
      <c r="AK34" s="175"/>
      <c r="AL34" s="175"/>
      <c r="AM34" s="175"/>
      <c r="AN34" s="175"/>
      <c r="AO34" s="175"/>
      <c r="AP34" s="175"/>
      <c r="AQ34" s="177"/>
      <c r="AR34" s="177"/>
      <c r="AS34" s="177"/>
      <c r="AT34" s="177"/>
      <c r="AU34" s="177"/>
      <c r="AV34" s="177"/>
      <c r="AW34" s="177"/>
      <c r="AX34" s="177"/>
    </row>
    <row r="35" spans="4:50">
      <c r="D35" s="35"/>
      <c r="E35" s="175"/>
      <c r="F35" s="175"/>
      <c r="G35" s="175"/>
      <c r="H35" s="175"/>
      <c r="I35" s="175"/>
      <c r="J35" s="175"/>
      <c r="K35" s="175"/>
      <c r="L35" s="175"/>
      <c r="M35" s="175"/>
      <c r="N35" s="175"/>
      <c r="O35" s="175"/>
      <c r="P35" s="175"/>
      <c r="Q35" s="175"/>
      <c r="R35" s="175"/>
      <c r="S35" s="175"/>
      <c r="T35" s="175"/>
      <c r="U35" s="175"/>
      <c r="V35" s="175"/>
      <c r="W35" s="177"/>
      <c r="X35" s="177"/>
      <c r="Y35" s="177"/>
      <c r="Z35" s="177"/>
      <c r="AA35" s="175"/>
      <c r="AB35" s="175"/>
      <c r="AC35" s="175"/>
      <c r="AD35" s="175"/>
      <c r="AE35" s="175"/>
      <c r="AF35" s="175"/>
      <c r="AG35" s="175"/>
      <c r="AH35" s="175"/>
      <c r="AI35" s="175"/>
      <c r="AJ35" s="175"/>
      <c r="AK35" s="175"/>
      <c r="AL35" s="175"/>
      <c r="AM35" s="175"/>
      <c r="AN35" s="175"/>
      <c r="AO35" s="175"/>
      <c r="AP35" s="175"/>
      <c r="AQ35" s="177"/>
      <c r="AR35" s="177"/>
      <c r="AS35" s="177"/>
      <c r="AT35" s="177"/>
      <c r="AU35" s="177"/>
      <c r="AV35" s="177"/>
      <c r="AW35" s="177"/>
      <c r="AX35" s="177"/>
    </row>
    <row r="36" spans="4:50">
      <c r="D36" s="35"/>
      <c r="E36" s="175"/>
      <c r="F36" s="175"/>
      <c r="G36" s="175"/>
      <c r="H36" s="175"/>
      <c r="I36" s="175"/>
      <c r="J36" s="175"/>
      <c r="K36" s="175"/>
      <c r="L36" s="175"/>
      <c r="M36" s="175"/>
      <c r="N36" s="175"/>
      <c r="O36" s="175"/>
      <c r="P36" s="175"/>
      <c r="Q36" s="175"/>
      <c r="R36" s="175"/>
      <c r="S36" s="175"/>
      <c r="T36" s="175"/>
      <c r="U36" s="175"/>
      <c r="V36" s="175"/>
      <c r="W36" s="177"/>
      <c r="X36" s="177"/>
      <c r="Y36" s="177"/>
      <c r="Z36" s="177"/>
      <c r="AA36" s="175"/>
      <c r="AB36" s="175"/>
      <c r="AC36" s="175"/>
      <c r="AD36" s="175"/>
      <c r="AE36" s="175"/>
      <c r="AF36" s="175"/>
      <c r="AG36" s="175"/>
      <c r="AH36" s="175"/>
      <c r="AI36" s="175"/>
      <c r="AJ36" s="175"/>
      <c r="AK36" s="175"/>
      <c r="AL36" s="175"/>
      <c r="AM36" s="175"/>
      <c r="AN36" s="175"/>
      <c r="AO36" s="175"/>
      <c r="AP36" s="175"/>
      <c r="AQ36" s="177"/>
      <c r="AR36" s="177"/>
      <c r="AS36" s="177"/>
      <c r="AT36" s="177"/>
      <c r="AU36" s="177"/>
      <c r="AV36" s="177"/>
      <c r="AW36" s="177"/>
      <c r="AX36" s="177"/>
    </row>
    <row r="37" spans="4:50" ht="3" customHeight="1"/>
    <row r="38" spans="4:50" ht="12" customHeight="1">
      <c r="D38" s="7" t="s">
        <v>522</v>
      </c>
      <c r="E38" s="8" t="s">
        <v>549</v>
      </c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  <c r="AO38" s="34"/>
      <c r="AP38" s="34"/>
      <c r="AQ38" s="34"/>
      <c r="AR38" s="34"/>
      <c r="AS38" s="34"/>
      <c r="AT38" s="34"/>
      <c r="AU38" s="34"/>
      <c r="AV38" s="34"/>
      <c r="AW38" s="34"/>
      <c r="AX38" s="34"/>
    </row>
    <row r="39" spans="4:50" ht="3" customHeight="1"/>
    <row r="40" spans="4:50">
      <c r="D40" s="151" t="s">
        <v>346</v>
      </c>
      <c r="E40" s="139" t="s">
        <v>537</v>
      </c>
      <c r="F40" s="140"/>
      <c r="G40" s="140"/>
      <c r="H40" s="140"/>
      <c r="I40" s="140"/>
      <c r="J40" s="141"/>
      <c r="K40" s="151" t="s">
        <v>30</v>
      </c>
      <c r="L40" s="151"/>
      <c r="M40" s="151"/>
      <c r="N40" s="151"/>
      <c r="O40" s="151"/>
      <c r="P40" s="151"/>
      <c r="Q40" s="151" t="s">
        <v>347</v>
      </c>
      <c r="R40" s="151"/>
      <c r="S40" s="151"/>
      <c r="T40" s="151"/>
      <c r="U40" s="151"/>
      <c r="V40" s="151"/>
      <c r="W40" s="151"/>
      <c r="X40" s="139" t="s">
        <v>550</v>
      </c>
      <c r="Y40" s="140"/>
      <c r="Z40" s="140"/>
      <c r="AA40" s="140"/>
      <c r="AB40" s="140"/>
      <c r="AC40" s="141"/>
      <c r="AD40" s="145" t="s">
        <v>551</v>
      </c>
      <c r="AE40" s="146"/>
      <c r="AF40" s="146"/>
      <c r="AG40" s="146"/>
      <c r="AH40" s="146"/>
      <c r="AI40" s="146"/>
      <c r="AJ40" s="147"/>
      <c r="AK40" s="142" t="s">
        <v>552</v>
      </c>
      <c r="AL40" s="143"/>
      <c r="AM40" s="143"/>
      <c r="AN40" s="143"/>
      <c r="AO40" s="143"/>
      <c r="AP40" s="143"/>
      <c r="AQ40" s="143"/>
      <c r="AR40" s="142" t="s">
        <v>553</v>
      </c>
      <c r="AS40" s="143"/>
      <c r="AT40" s="143"/>
      <c r="AU40" s="143"/>
      <c r="AV40" s="143"/>
      <c r="AW40" s="143"/>
      <c r="AX40" s="144"/>
    </row>
    <row r="41" spans="4:50">
      <c r="D41" s="151"/>
      <c r="E41" s="133"/>
      <c r="F41" s="134"/>
      <c r="G41" s="134"/>
      <c r="H41" s="134"/>
      <c r="I41" s="134"/>
      <c r="J41" s="135"/>
      <c r="K41" s="151"/>
      <c r="L41" s="151"/>
      <c r="M41" s="151"/>
      <c r="N41" s="151"/>
      <c r="O41" s="151"/>
      <c r="P41" s="151"/>
      <c r="Q41" s="151"/>
      <c r="R41" s="151"/>
      <c r="S41" s="151"/>
      <c r="T41" s="151"/>
      <c r="U41" s="151"/>
      <c r="V41" s="151"/>
      <c r="W41" s="151"/>
      <c r="X41" s="133"/>
      <c r="Y41" s="134"/>
      <c r="Z41" s="134"/>
      <c r="AA41" s="134"/>
      <c r="AB41" s="134"/>
      <c r="AC41" s="135"/>
      <c r="AD41" s="148"/>
      <c r="AE41" s="149"/>
      <c r="AF41" s="149"/>
      <c r="AG41" s="149"/>
      <c r="AH41" s="149"/>
      <c r="AI41" s="149"/>
      <c r="AJ41" s="150"/>
      <c r="AK41" s="142"/>
      <c r="AL41" s="143"/>
      <c r="AM41" s="143"/>
      <c r="AN41" s="143"/>
      <c r="AO41" s="143"/>
      <c r="AP41" s="143"/>
      <c r="AQ41" s="143"/>
      <c r="AR41" s="142"/>
      <c r="AS41" s="143"/>
      <c r="AT41" s="143"/>
      <c r="AU41" s="143"/>
      <c r="AV41" s="143"/>
      <c r="AW41" s="143"/>
      <c r="AX41" s="144"/>
    </row>
    <row r="42" spans="4:50">
      <c r="D42" s="151"/>
      <c r="E42" s="133" t="s">
        <v>541</v>
      </c>
      <c r="F42" s="134"/>
      <c r="G42" s="134"/>
      <c r="H42" s="134"/>
      <c r="I42" s="134"/>
      <c r="J42" s="135"/>
      <c r="K42" s="151"/>
      <c r="L42" s="151"/>
      <c r="M42" s="151"/>
      <c r="N42" s="151"/>
      <c r="O42" s="151"/>
      <c r="P42" s="151"/>
      <c r="Q42" s="151"/>
      <c r="R42" s="151"/>
      <c r="S42" s="151"/>
      <c r="T42" s="151"/>
      <c r="U42" s="151"/>
      <c r="V42" s="151"/>
      <c r="W42" s="151"/>
      <c r="X42" s="133" t="s">
        <v>353</v>
      </c>
      <c r="Y42" s="134"/>
      <c r="Z42" s="134"/>
      <c r="AA42" s="134"/>
      <c r="AB42" s="134"/>
      <c r="AC42" s="135"/>
      <c r="AD42" s="148"/>
      <c r="AE42" s="149"/>
      <c r="AF42" s="149"/>
      <c r="AG42" s="149"/>
      <c r="AH42" s="149"/>
      <c r="AI42" s="149"/>
      <c r="AJ42" s="150"/>
      <c r="AK42" s="142"/>
      <c r="AL42" s="143"/>
      <c r="AM42" s="143"/>
      <c r="AN42" s="143"/>
      <c r="AO42" s="143"/>
      <c r="AP42" s="143"/>
      <c r="AQ42" s="143"/>
      <c r="AR42" s="142"/>
      <c r="AS42" s="143"/>
      <c r="AT42" s="143"/>
      <c r="AU42" s="143"/>
      <c r="AV42" s="143"/>
      <c r="AW42" s="143"/>
      <c r="AX42" s="144"/>
    </row>
    <row r="43" spans="4:50">
      <c r="D43" s="151"/>
      <c r="E43" s="136"/>
      <c r="F43" s="137"/>
      <c r="G43" s="137"/>
      <c r="H43" s="137"/>
      <c r="I43" s="137"/>
      <c r="J43" s="138"/>
      <c r="K43" s="151"/>
      <c r="L43" s="151"/>
      <c r="M43" s="151"/>
      <c r="N43" s="151"/>
      <c r="O43" s="151"/>
      <c r="P43" s="151"/>
      <c r="Q43" s="151"/>
      <c r="R43" s="151"/>
      <c r="S43" s="151"/>
      <c r="T43" s="151"/>
      <c r="U43" s="151"/>
      <c r="V43" s="151"/>
      <c r="W43" s="151"/>
      <c r="X43" s="136"/>
      <c r="Y43" s="137"/>
      <c r="Z43" s="137"/>
      <c r="AA43" s="137"/>
      <c r="AB43" s="137"/>
      <c r="AC43" s="138"/>
      <c r="AD43" s="179" t="s">
        <v>353</v>
      </c>
      <c r="AE43" s="180"/>
      <c r="AF43" s="180"/>
      <c r="AG43" s="180"/>
      <c r="AH43" s="180"/>
      <c r="AI43" s="180"/>
      <c r="AJ43" s="181"/>
      <c r="AK43" s="142"/>
      <c r="AL43" s="143"/>
      <c r="AM43" s="143"/>
      <c r="AN43" s="143"/>
      <c r="AO43" s="143"/>
      <c r="AP43" s="143"/>
      <c r="AQ43" s="143"/>
      <c r="AR43" s="142"/>
      <c r="AS43" s="143"/>
      <c r="AT43" s="143"/>
      <c r="AU43" s="143"/>
      <c r="AV43" s="143"/>
      <c r="AW43" s="143"/>
      <c r="AX43" s="144"/>
    </row>
    <row r="44" spans="4:50">
      <c r="D44" s="129" t="s">
        <v>201</v>
      </c>
      <c r="E44" s="158" t="s">
        <v>202</v>
      </c>
      <c r="F44" s="159"/>
      <c r="G44" s="159"/>
      <c r="H44" s="159"/>
      <c r="I44" s="159"/>
      <c r="J44" s="159"/>
      <c r="K44" s="158" t="s">
        <v>203</v>
      </c>
      <c r="L44" s="159"/>
      <c r="M44" s="159"/>
      <c r="N44" s="159"/>
      <c r="O44" s="159"/>
      <c r="P44" s="159"/>
      <c r="Q44" s="158" t="s">
        <v>204</v>
      </c>
      <c r="R44" s="159"/>
      <c r="S44" s="159"/>
      <c r="T44" s="159"/>
      <c r="U44" s="159"/>
      <c r="V44" s="159"/>
      <c r="W44" s="159"/>
      <c r="X44" s="182" t="s">
        <v>205</v>
      </c>
      <c r="Y44" s="183"/>
      <c r="Z44" s="183"/>
      <c r="AA44" s="183"/>
      <c r="AB44" s="183"/>
      <c r="AC44" s="184"/>
      <c r="AD44" s="158" t="s">
        <v>354</v>
      </c>
      <c r="AE44" s="159"/>
      <c r="AF44" s="159"/>
      <c r="AG44" s="159"/>
      <c r="AH44" s="159"/>
      <c r="AI44" s="159"/>
      <c r="AJ44" s="159"/>
      <c r="AK44" s="162" t="s">
        <v>207</v>
      </c>
      <c r="AL44" s="161"/>
      <c r="AM44" s="161"/>
      <c r="AN44" s="161"/>
      <c r="AO44" s="161"/>
      <c r="AP44" s="161"/>
      <c r="AQ44" s="161"/>
      <c r="AR44" s="162" t="s">
        <v>208</v>
      </c>
      <c r="AS44" s="161"/>
      <c r="AT44" s="161"/>
      <c r="AU44" s="161"/>
      <c r="AV44" s="161"/>
      <c r="AW44" s="161"/>
      <c r="AX44" s="161"/>
    </row>
    <row r="45" spans="4:50">
      <c r="D45" s="35"/>
      <c r="E45" s="175"/>
      <c r="F45" s="175"/>
      <c r="G45" s="175"/>
      <c r="H45" s="175"/>
      <c r="I45" s="175"/>
      <c r="J45" s="175"/>
      <c r="K45" s="175"/>
      <c r="L45" s="175"/>
      <c r="M45" s="175"/>
      <c r="N45" s="175"/>
      <c r="O45" s="175"/>
      <c r="P45" s="175"/>
      <c r="Q45" s="175"/>
      <c r="R45" s="175"/>
      <c r="S45" s="175"/>
      <c r="T45" s="175"/>
      <c r="U45" s="175"/>
      <c r="V45" s="175"/>
      <c r="W45" s="175"/>
      <c r="X45" s="178"/>
      <c r="Y45" s="178"/>
      <c r="Z45" s="178"/>
      <c r="AA45" s="178"/>
      <c r="AB45" s="178"/>
      <c r="AC45" s="178"/>
      <c r="AD45" s="177"/>
      <c r="AE45" s="177"/>
      <c r="AF45" s="177"/>
      <c r="AG45" s="177"/>
      <c r="AH45" s="177"/>
      <c r="AI45" s="177"/>
      <c r="AJ45" s="177"/>
      <c r="AK45" s="172"/>
      <c r="AL45" s="172"/>
      <c r="AM45" s="172"/>
      <c r="AN45" s="172"/>
      <c r="AO45" s="172"/>
      <c r="AP45" s="172"/>
      <c r="AQ45" s="172"/>
      <c r="AR45" s="172"/>
      <c r="AS45" s="172"/>
      <c r="AT45" s="172"/>
      <c r="AU45" s="172"/>
      <c r="AV45" s="172"/>
      <c r="AW45" s="172"/>
      <c r="AX45" s="172"/>
    </row>
    <row r="46" spans="4:50">
      <c r="D46" s="35"/>
      <c r="E46" s="175"/>
      <c r="F46" s="175"/>
      <c r="G46" s="175"/>
      <c r="H46" s="175"/>
      <c r="I46" s="175"/>
      <c r="J46" s="175"/>
      <c r="K46" s="175"/>
      <c r="L46" s="175"/>
      <c r="M46" s="175"/>
      <c r="N46" s="175"/>
      <c r="O46" s="175"/>
      <c r="P46" s="175"/>
      <c r="Q46" s="175"/>
      <c r="R46" s="175"/>
      <c r="S46" s="175"/>
      <c r="T46" s="175"/>
      <c r="U46" s="175"/>
      <c r="V46" s="175"/>
      <c r="W46" s="175"/>
      <c r="X46" s="176"/>
      <c r="Y46" s="176"/>
      <c r="Z46" s="176"/>
      <c r="AA46" s="176"/>
      <c r="AB46" s="176"/>
      <c r="AC46" s="176"/>
      <c r="AD46" s="177"/>
      <c r="AE46" s="177"/>
      <c r="AF46" s="177"/>
      <c r="AG46" s="177"/>
      <c r="AH46" s="177"/>
      <c r="AI46" s="177"/>
      <c r="AJ46" s="177"/>
      <c r="AK46" s="172"/>
      <c r="AL46" s="172"/>
      <c r="AM46" s="172"/>
      <c r="AN46" s="172"/>
      <c r="AO46" s="172"/>
      <c r="AP46" s="172"/>
      <c r="AQ46" s="172"/>
      <c r="AR46" s="172"/>
      <c r="AS46" s="172"/>
      <c r="AT46" s="172"/>
      <c r="AU46" s="172"/>
      <c r="AV46" s="172"/>
      <c r="AW46" s="172"/>
      <c r="AX46" s="172"/>
    </row>
    <row r="47" spans="4:50">
      <c r="D47" s="35"/>
      <c r="E47" s="175"/>
      <c r="F47" s="175"/>
      <c r="G47" s="175"/>
      <c r="H47" s="175"/>
      <c r="I47" s="175"/>
      <c r="J47" s="175"/>
      <c r="K47" s="175"/>
      <c r="L47" s="175"/>
      <c r="M47" s="175"/>
      <c r="N47" s="175"/>
      <c r="O47" s="175"/>
      <c r="P47" s="175"/>
      <c r="Q47" s="175"/>
      <c r="R47" s="175"/>
      <c r="S47" s="175"/>
      <c r="T47" s="175"/>
      <c r="U47" s="175"/>
      <c r="V47" s="175"/>
      <c r="W47" s="175"/>
      <c r="X47" s="176"/>
      <c r="Y47" s="176"/>
      <c r="Z47" s="176"/>
      <c r="AA47" s="176"/>
      <c r="AB47" s="176"/>
      <c r="AC47" s="176"/>
      <c r="AD47" s="177"/>
      <c r="AE47" s="177"/>
      <c r="AF47" s="177"/>
      <c r="AG47" s="177"/>
      <c r="AH47" s="177"/>
      <c r="AI47" s="177"/>
      <c r="AJ47" s="177"/>
      <c r="AK47" s="172"/>
      <c r="AL47" s="172"/>
      <c r="AM47" s="172"/>
      <c r="AN47" s="172"/>
      <c r="AO47" s="172"/>
      <c r="AP47" s="172"/>
      <c r="AQ47" s="172"/>
      <c r="AR47" s="172"/>
      <c r="AS47" s="172"/>
      <c r="AT47" s="172"/>
      <c r="AU47" s="172"/>
      <c r="AV47" s="172"/>
      <c r="AW47" s="172"/>
      <c r="AX47" s="172"/>
    </row>
    <row r="48" spans="4:50">
      <c r="D48" s="35"/>
      <c r="E48" s="175"/>
      <c r="F48" s="175"/>
      <c r="G48" s="175"/>
      <c r="H48" s="175"/>
      <c r="I48" s="175"/>
      <c r="J48" s="175"/>
      <c r="K48" s="175"/>
      <c r="L48" s="175"/>
      <c r="M48" s="175"/>
      <c r="N48" s="175"/>
      <c r="O48" s="175"/>
      <c r="P48" s="175"/>
      <c r="Q48" s="175"/>
      <c r="R48" s="175"/>
      <c r="S48" s="175"/>
      <c r="T48" s="175"/>
      <c r="U48" s="175"/>
      <c r="V48" s="175"/>
      <c r="W48" s="175"/>
      <c r="X48" s="176"/>
      <c r="Y48" s="176"/>
      <c r="Z48" s="176"/>
      <c r="AA48" s="176"/>
      <c r="AB48" s="176"/>
      <c r="AC48" s="176"/>
      <c r="AD48" s="177"/>
      <c r="AE48" s="177"/>
      <c r="AF48" s="177"/>
      <c r="AG48" s="177"/>
      <c r="AH48" s="177"/>
      <c r="AI48" s="177"/>
      <c r="AJ48" s="177"/>
      <c r="AK48" s="172"/>
      <c r="AL48" s="172"/>
      <c r="AM48" s="172"/>
      <c r="AN48" s="172"/>
      <c r="AO48" s="172"/>
      <c r="AP48" s="172"/>
      <c r="AQ48" s="172"/>
      <c r="AR48" s="172"/>
      <c r="AS48" s="172"/>
      <c r="AT48" s="172"/>
      <c r="AU48" s="172"/>
      <c r="AV48" s="172"/>
      <c r="AW48" s="172"/>
      <c r="AX48" s="172"/>
    </row>
    <row r="49" spans="4:50" ht="3" customHeight="1"/>
    <row r="50" spans="4:50" ht="12" customHeight="1">
      <c r="D50" s="7" t="s">
        <v>554</v>
      </c>
      <c r="E50" s="8" t="s">
        <v>555</v>
      </c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  <c r="AG50" s="34"/>
      <c r="AH50" s="34"/>
      <c r="AI50" s="34"/>
      <c r="AJ50" s="34"/>
      <c r="AK50" s="34"/>
      <c r="AL50" s="34"/>
      <c r="AM50" s="34"/>
      <c r="AN50" s="34"/>
      <c r="AO50" s="34"/>
      <c r="AP50" s="34"/>
      <c r="AQ50" s="34"/>
      <c r="AR50" s="34"/>
      <c r="AS50" s="34"/>
      <c r="AT50" s="34"/>
      <c r="AU50" s="34"/>
      <c r="AV50" s="34"/>
      <c r="AW50" s="34"/>
      <c r="AX50" s="34"/>
    </row>
    <row r="51" spans="4:50" ht="3" customHeight="1"/>
    <row r="52" spans="4:50">
      <c r="D52" s="11" t="s">
        <v>556</v>
      </c>
      <c r="E52" s="36" t="s">
        <v>557</v>
      </c>
    </row>
    <row r="53" spans="4:50">
      <c r="E53" s="151" t="s">
        <v>346</v>
      </c>
      <c r="F53" s="151" t="s">
        <v>558</v>
      </c>
      <c r="G53" s="151"/>
      <c r="H53" s="151"/>
      <c r="I53" s="151"/>
      <c r="J53" s="151"/>
      <c r="K53" s="151"/>
      <c r="L53" s="151"/>
      <c r="M53" s="151"/>
      <c r="N53" s="151"/>
      <c r="O53" s="151"/>
      <c r="P53" s="151"/>
      <c r="Q53" s="132" t="s">
        <v>559</v>
      </c>
      <c r="R53" s="132"/>
      <c r="S53" s="132"/>
      <c r="T53" s="132"/>
      <c r="U53" s="174" t="s">
        <v>560</v>
      </c>
      <c r="V53" s="174"/>
      <c r="W53" s="174"/>
      <c r="X53" s="174"/>
      <c r="Y53" s="174"/>
      <c r="Z53" s="174"/>
      <c r="AA53" s="174"/>
      <c r="AB53" s="174"/>
      <c r="AC53" s="161" t="s">
        <v>561</v>
      </c>
      <c r="AD53" s="161"/>
      <c r="AE53" s="161"/>
      <c r="AF53" s="161"/>
      <c r="AG53" s="161"/>
      <c r="AH53" s="161"/>
      <c r="AI53" s="161"/>
      <c r="AJ53" s="161"/>
      <c r="AK53" s="161"/>
      <c r="AL53" s="161"/>
      <c r="AM53" s="161"/>
      <c r="AN53" s="161"/>
      <c r="AO53" s="161"/>
      <c r="AP53" s="161"/>
      <c r="AQ53" s="161"/>
      <c r="AR53" s="161"/>
      <c r="AS53" s="161"/>
      <c r="AT53" s="161"/>
      <c r="AU53" s="161"/>
      <c r="AV53" s="161"/>
      <c r="AW53" s="161"/>
      <c r="AX53" s="161"/>
    </row>
    <row r="54" spans="4:50">
      <c r="E54" s="151"/>
      <c r="F54" s="151"/>
      <c r="G54" s="151"/>
      <c r="H54" s="151"/>
      <c r="I54" s="151"/>
      <c r="J54" s="151"/>
      <c r="K54" s="151"/>
      <c r="L54" s="151"/>
      <c r="M54" s="151"/>
      <c r="N54" s="151"/>
      <c r="O54" s="151"/>
      <c r="P54" s="151"/>
      <c r="Q54" s="132"/>
      <c r="R54" s="132"/>
      <c r="S54" s="132"/>
      <c r="T54" s="132"/>
      <c r="U54" s="156" t="s">
        <v>353</v>
      </c>
      <c r="V54" s="156"/>
      <c r="W54" s="156"/>
      <c r="X54" s="156"/>
      <c r="Y54" s="156"/>
      <c r="Z54" s="156"/>
      <c r="AA54" s="156"/>
      <c r="AB54" s="156"/>
      <c r="AC54" s="161" t="s">
        <v>562</v>
      </c>
      <c r="AD54" s="161"/>
      <c r="AE54" s="161"/>
      <c r="AF54" s="161"/>
      <c r="AG54" s="161"/>
      <c r="AH54" s="161"/>
      <c r="AI54" s="161"/>
      <c r="AJ54" s="161" t="s">
        <v>563</v>
      </c>
      <c r="AK54" s="161"/>
      <c r="AL54" s="161"/>
      <c r="AM54" s="161"/>
      <c r="AN54" s="161"/>
      <c r="AO54" s="161"/>
      <c r="AP54" s="161"/>
      <c r="AQ54" s="161"/>
      <c r="AR54" s="161" t="s">
        <v>564</v>
      </c>
      <c r="AS54" s="161"/>
      <c r="AT54" s="161"/>
      <c r="AU54" s="161"/>
      <c r="AV54" s="161"/>
      <c r="AW54" s="161"/>
      <c r="AX54" s="161"/>
    </row>
    <row r="55" spans="4:50">
      <c r="E55" s="130" t="s">
        <v>201</v>
      </c>
      <c r="F55" s="162" t="s">
        <v>202</v>
      </c>
      <c r="G55" s="161"/>
      <c r="H55" s="161"/>
      <c r="I55" s="161"/>
      <c r="J55" s="161"/>
      <c r="K55" s="161"/>
      <c r="L55" s="161"/>
      <c r="M55" s="161"/>
      <c r="N55" s="161"/>
      <c r="O55" s="161"/>
      <c r="P55" s="161"/>
      <c r="Q55" s="162" t="s">
        <v>203</v>
      </c>
      <c r="R55" s="161"/>
      <c r="S55" s="161"/>
      <c r="T55" s="161"/>
      <c r="U55" s="162" t="s">
        <v>204</v>
      </c>
      <c r="V55" s="161"/>
      <c r="W55" s="161"/>
      <c r="X55" s="161"/>
      <c r="Y55" s="161"/>
      <c r="Z55" s="161"/>
      <c r="AA55" s="161"/>
      <c r="AB55" s="161"/>
      <c r="AC55" s="162" t="s">
        <v>205</v>
      </c>
      <c r="AD55" s="161"/>
      <c r="AE55" s="161"/>
      <c r="AF55" s="161"/>
      <c r="AG55" s="161"/>
      <c r="AH55" s="161"/>
      <c r="AI55" s="161"/>
      <c r="AJ55" s="162" t="s">
        <v>354</v>
      </c>
      <c r="AK55" s="161"/>
      <c r="AL55" s="161"/>
      <c r="AM55" s="161"/>
      <c r="AN55" s="161"/>
      <c r="AO55" s="161"/>
      <c r="AP55" s="161"/>
      <c r="AQ55" s="161"/>
      <c r="AR55" s="162" t="s">
        <v>207</v>
      </c>
      <c r="AS55" s="161"/>
      <c r="AT55" s="161"/>
      <c r="AU55" s="161"/>
      <c r="AV55" s="161"/>
      <c r="AW55" s="161"/>
      <c r="AX55" s="161"/>
    </row>
    <row r="56" spans="4:50">
      <c r="E56" s="37"/>
      <c r="F56" s="172"/>
      <c r="G56" s="172"/>
      <c r="H56" s="172"/>
      <c r="I56" s="172"/>
      <c r="J56" s="172"/>
      <c r="K56" s="172"/>
      <c r="L56" s="172"/>
      <c r="M56" s="172"/>
      <c r="N56" s="172"/>
      <c r="O56" s="172"/>
      <c r="P56" s="172"/>
      <c r="Q56" s="172"/>
      <c r="R56" s="172"/>
      <c r="S56" s="172"/>
      <c r="T56" s="172"/>
      <c r="U56" s="172"/>
      <c r="V56" s="172"/>
      <c r="W56" s="172"/>
      <c r="X56" s="172"/>
      <c r="Y56" s="172"/>
      <c r="Z56" s="172"/>
      <c r="AA56" s="172"/>
      <c r="AB56" s="172"/>
      <c r="AC56" s="172"/>
      <c r="AD56" s="172"/>
      <c r="AE56" s="172"/>
      <c r="AF56" s="172"/>
      <c r="AG56" s="172"/>
      <c r="AH56" s="172"/>
      <c r="AI56" s="172"/>
      <c r="AJ56" s="172"/>
      <c r="AK56" s="172"/>
      <c r="AL56" s="172"/>
      <c r="AM56" s="172"/>
      <c r="AN56" s="172"/>
      <c r="AO56" s="172"/>
      <c r="AP56" s="172"/>
      <c r="AQ56" s="172"/>
      <c r="AR56" s="172"/>
      <c r="AS56" s="172"/>
      <c r="AT56" s="172"/>
      <c r="AU56" s="172"/>
      <c r="AV56" s="172"/>
      <c r="AW56" s="172"/>
      <c r="AX56" s="172"/>
    </row>
    <row r="57" spans="4:50">
      <c r="E57" s="37"/>
      <c r="F57" s="172"/>
      <c r="G57" s="172"/>
      <c r="H57" s="172"/>
      <c r="I57" s="172"/>
      <c r="J57" s="172"/>
      <c r="K57" s="172"/>
      <c r="L57" s="172"/>
      <c r="M57" s="172"/>
      <c r="N57" s="172"/>
      <c r="O57" s="172"/>
      <c r="P57" s="172"/>
      <c r="Q57" s="172"/>
      <c r="R57" s="172"/>
      <c r="S57" s="172"/>
      <c r="T57" s="172"/>
      <c r="U57" s="172"/>
      <c r="V57" s="172"/>
      <c r="W57" s="172"/>
      <c r="X57" s="172"/>
      <c r="Y57" s="172"/>
      <c r="Z57" s="172"/>
      <c r="AA57" s="172"/>
      <c r="AB57" s="172"/>
      <c r="AC57" s="172"/>
      <c r="AD57" s="172"/>
      <c r="AE57" s="172"/>
      <c r="AF57" s="172"/>
      <c r="AG57" s="172"/>
      <c r="AH57" s="172"/>
      <c r="AI57" s="172"/>
      <c r="AJ57" s="172"/>
      <c r="AK57" s="172"/>
      <c r="AL57" s="172"/>
      <c r="AM57" s="172"/>
      <c r="AN57" s="172"/>
      <c r="AO57" s="172"/>
      <c r="AP57" s="172"/>
      <c r="AQ57" s="172"/>
      <c r="AR57" s="172"/>
      <c r="AS57" s="172"/>
      <c r="AT57" s="172"/>
      <c r="AU57" s="172"/>
      <c r="AV57" s="172"/>
      <c r="AW57" s="172"/>
      <c r="AX57" s="172"/>
    </row>
    <row r="58" spans="4:50">
      <c r="E58" s="37"/>
      <c r="F58" s="172"/>
      <c r="G58" s="172"/>
      <c r="H58" s="172"/>
      <c r="I58" s="172"/>
      <c r="J58" s="172"/>
      <c r="K58" s="172"/>
      <c r="L58" s="172"/>
      <c r="M58" s="172"/>
      <c r="N58" s="172"/>
      <c r="O58" s="172"/>
      <c r="P58" s="172"/>
      <c r="Q58" s="172"/>
      <c r="R58" s="172"/>
      <c r="S58" s="172"/>
      <c r="T58" s="172"/>
      <c r="U58" s="172"/>
      <c r="V58" s="172"/>
      <c r="W58" s="172"/>
      <c r="X58" s="172"/>
      <c r="Y58" s="172"/>
      <c r="Z58" s="172"/>
      <c r="AA58" s="172"/>
      <c r="AB58" s="172"/>
      <c r="AC58" s="172"/>
      <c r="AD58" s="172"/>
      <c r="AE58" s="172"/>
      <c r="AF58" s="172"/>
      <c r="AG58" s="172"/>
      <c r="AH58" s="172"/>
      <c r="AI58" s="172"/>
      <c r="AJ58" s="172"/>
      <c r="AK58" s="172"/>
      <c r="AL58" s="172"/>
      <c r="AM58" s="172"/>
      <c r="AN58" s="172"/>
      <c r="AO58" s="172"/>
      <c r="AP58" s="172"/>
      <c r="AQ58" s="172"/>
      <c r="AR58" s="172"/>
      <c r="AS58" s="172"/>
      <c r="AT58" s="172"/>
      <c r="AU58" s="172"/>
      <c r="AV58" s="172"/>
      <c r="AW58" s="172"/>
      <c r="AX58" s="172"/>
    </row>
    <row r="60" spans="4:50">
      <c r="D60" s="11" t="s">
        <v>565</v>
      </c>
      <c r="E60" s="36" t="s">
        <v>566</v>
      </c>
    </row>
    <row r="61" spans="4:50" ht="3" customHeight="1"/>
    <row r="62" spans="4:50">
      <c r="AO62" s="173" t="s">
        <v>477</v>
      </c>
      <c r="AP62" s="173"/>
      <c r="AQ62" s="173"/>
      <c r="AR62" s="173"/>
      <c r="AS62" s="173"/>
      <c r="AT62" s="173"/>
      <c r="AU62" s="173"/>
      <c r="AV62" s="173"/>
      <c r="AW62" s="173"/>
    </row>
    <row r="63" spans="4:50" ht="3" customHeight="1"/>
    <row r="64" spans="4:50">
      <c r="E64" s="11">
        <v>1</v>
      </c>
      <c r="F64" s="1" t="s">
        <v>567</v>
      </c>
      <c r="T64" s="36" t="s">
        <v>568</v>
      </c>
      <c r="U64" s="165"/>
      <c r="V64" s="166"/>
      <c r="W64" s="166"/>
      <c r="X64" s="166"/>
      <c r="Y64" s="166"/>
      <c r="Z64" s="166"/>
      <c r="AA64" s="166"/>
      <c r="AB64" s="166"/>
      <c r="AC64" s="166"/>
      <c r="AD64" s="166"/>
      <c r="AE64" s="166"/>
      <c r="AF64" s="166"/>
      <c r="AG64" s="166"/>
      <c r="AH64" s="166"/>
      <c r="AI64" s="166"/>
      <c r="AJ64" s="166"/>
      <c r="AK64" s="166"/>
      <c r="AL64" s="166"/>
      <c r="AM64" s="167"/>
      <c r="AO64" s="171"/>
      <c r="AP64" s="171"/>
      <c r="AQ64" s="171"/>
      <c r="AR64" s="171"/>
      <c r="AS64" s="171"/>
      <c r="AT64" s="171"/>
      <c r="AU64" s="171"/>
      <c r="AV64" s="171"/>
      <c r="AW64" s="171"/>
    </row>
    <row r="65" spans="5:49" ht="3" customHeight="1"/>
    <row r="66" spans="5:49">
      <c r="E66" s="11">
        <v>2</v>
      </c>
      <c r="F66" s="1" t="s">
        <v>569</v>
      </c>
      <c r="T66" s="36" t="s">
        <v>568</v>
      </c>
      <c r="U66" s="36" t="s">
        <v>570</v>
      </c>
      <c r="W66" s="165"/>
      <c r="X66" s="166"/>
      <c r="Y66" s="166"/>
      <c r="Z66" s="166"/>
      <c r="AA66" s="166"/>
      <c r="AB66" s="166"/>
      <c r="AC66" s="167"/>
      <c r="AE66" s="36" t="s">
        <v>571</v>
      </c>
      <c r="AH66" s="168"/>
      <c r="AI66" s="169"/>
      <c r="AJ66" s="169"/>
      <c r="AK66" s="169"/>
      <c r="AL66" s="169"/>
      <c r="AM66" s="170"/>
      <c r="AO66" s="171"/>
      <c r="AP66" s="171"/>
      <c r="AQ66" s="171"/>
      <c r="AR66" s="171"/>
      <c r="AS66" s="171"/>
      <c r="AT66" s="171"/>
      <c r="AU66" s="171"/>
      <c r="AV66" s="171"/>
      <c r="AW66" s="171"/>
    </row>
    <row r="67" spans="5:49" ht="3" customHeight="1">
      <c r="U67" s="36"/>
      <c r="AE67" s="36"/>
    </row>
    <row r="68" spans="5:49">
      <c r="E68" s="11">
        <v>3</v>
      </c>
      <c r="F68" s="1" t="s">
        <v>572</v>
      </c>
      <c r="T68" s="36" t="s">
        <v>568</v>
      </c>
      <c r="U68" s="36" t="s">
        <v>570</v>
      </c>
      <c r="W68" s="165"/>
      <c r="X68" s="166"/>
      <c r="Y68" s="166"/>
      <c r="Z68" s="166"/>
      <c r="AA68" s="166"/>
      <c r="AB68" s="166"/>
      <c r="AC68" s="167"/>
      <c r="AE68" s="36" t="s">
        <v>571</v>
      </c>
      <c r="AH68" s="168"/>
      <c r="AI68" s="169"/>
      <c r="AJ68" s="169"/>
      <c r="AK68" s="169"/>
      <c r="AL68" s="169"/>
      <c r="AM68" s="170"/>
      <c r="AO68" s="171"/>
      <c r="AP68" s="171"/>
      <c r="AQ68" s="171"/>
      <c r="AR68" s="171"/>
      <c r="AS68" s="171"/>
      <c r="AT68" s="171"/>
      <c r="AU68" s="171"/>
      <c r="AV68" s="171"/>
      <c r="AW68" s="171"/>
    </row>
    <row r="69" spans="5:49" ht="3" customHeight="1"/>
    <row r="70" spans="5:49">
      <c r="E70" s="11">
        <v>4</v>
      </c>
      <c r="F70" s="1" t="s">
        <v>573</v>
      </c>
    </row>
    <row r="71" spans="5:49" ht="3" customHeight="1"/>
    <row r="72" spans="5:49">
      <c r="F72" s="11" t="s">
        <v>49</v>
      </c>
      <c r="G72" s="1" t="s">
        <v>574</v>
      </c>
      <c r="AO72" s="157"/>
      <c r="AP72" s="157"/>
      <c r="AQ72" s="157"/>
      <c r="AR72" s="157"/>
      <c r="AS72" s="157"/>
      <c r="AT72" s="157"/>
      <c r="AU72" s="157"/>
      <c r="AV72" s="157"/>
      <c r="AW72" s="157"/>
    </row>
    <row r="73" spans="5:49" ht="3" customHeight="1">
      <c r="AO73" s="43"/>
      <c r="AP73" s="43"/>
      <c r="AQ73" s="43"/>
      <c r="AR73" s="43"/>
      <c r="AS73" s="43"/>
      <c r="AT73" s="43"/>
      <c r="AU73" s="43"/>
      <c r="AV73" s="43"/>
      <c r="AW73" s="43"/>
    </row>
    <row r="74" spans="5:49">
      <c r="F74" s="11" t="s">
        <v>52</v>
      </c>
      <c r="G74" s="1" t="s">
        <v>575</v>
      </c>
      <c r="AO74" s="157"/>
      <c r="AP74" s="157"/>
      <c r="AQ74" s="157"/>
      <c r="AR74" s="157"/>
      <c r="AS74" s="157"/>
      <c r="AT74" s="157"/>
      <c r="AU74" s="157"/>
      <c r="AV74" s="157"/>
      <c r="AW74" s="157"/>
    </row>
    <row r="75" spans="5:49" ht="3" customHeight="1">
      <c r="AO75" s="43"/>
      <c r="AP75" s="43"/>
      <c r="AQ75" s="43"/>
      <c r="AR75" s="43"/>
      <c r="AS75" s="43"/>
      <c r="AT75" s="43"/>
      <c r="AU75" s="43"/>
      <c r="AV75" s="43"/>
      <c r="AW75" s="43"/>
    </row>
    <row r="76" spans="5:49">
      <c r="F76" s="11" t="s">
        <v>101</v>
      </c>
      <c r="G76" s="1" t="s">
        <v>576</v>
      </c>
      <c r="AO76" s="157"/>
      <c r="AP76" s="157"/>
      <c r="AQ76" s="157"/>
      <c r="AR76" s="157"/>
      <c r="AS76" s="157"/>
      <c r="AT76" s="157"/>
      <c r="AU76" s="157"/>
      <c r="AV76" s="157"/>
      <c r="AW76" s="157"/>
    </row>
    <row r="77" spans="5:49" ht="3" customHeight="1">
      <c r="AO77" s="43"/>
      <c r="AP77" s="43"/>
      <c r="AQ77" s="43"/>
      <c r="AR77" s="43"/>
      <c r="AS77" s="43"/>
      <c r="AT77" s="43"/>
      <c r="AU77" s="43"/>
      <c r="AV77" s="43"/>
      <c r="AW77" s="43"/>
    </row>
    <row r="78" spans="5:49">
      <c r="F78" s="11" t="s">
        <v>132</v>
      </c>
      <c r="G78" s="1" t="s">
        <v>577</v>
      </c>
      <c r="AO78" s="157"/>
      <c r="AP78" s="157"/>
      <c r="AQ78" s="157"/>
      <c r="AR78" s="157"/>
      <c r="AS78" s="157"/>
      <c r="AT78" s="157"/>
      <c r="AU78" s="157"/>
      <c r="AV78" s="157"/>
      <c r="AW78" s="157"/>
    </row>
    <row r="79" spans="5:49" ht="3" customHeight="1">
      <c r="AO79" s="43"/>
      <c r="AP79" s="43"/>
      <c r="AQ79" s="43"/>
      <c r="AR79" s="43"/>
      <c r="AS79" s="43"/>
      <c r="AT79" s="43"/>
      <c r="AU79" s="43"/>
      <c r="AV79" s="43"/>
      <c r="AW79" s="43"/>
    </row>
    <row r="80" spans="5:49">
      <c r="F80" s="11" t="s">
        <v>134</v>
      </c>
      <c r="G80" s="1" t="s">
        <v>578</v>
      </c>
      <c r="AO80" s="157"/>
      <c r="AP80" s="157"/>
      <c r="AQ80" s="157"/>
      <c r="AR80" s="157"/>
      <c r="AS80" s="157"/>
      <c r="AT80" s="157"/>
      <c r="AU80" s="157"/>
      <c r="AV80" s="157"/>
      <c r="AW80" s="157"/>
    </row>
    <row r="81" spans="4:50" ht="3" customHeight="1">
      <c r="AO81" s="43"/>
      <c r="AP81" s="43"/>
      <c r="AQ81" s="43"/>
      <c r="AR81" s="43"/>
      <c r="AS81" s="43"/>
      <c r="AT81" s="43"/>
      <c r="AU81" s="43"/>
      <c r="AV81" s="43"/>
      <c r="AW81" s="43"/>
    </row>
    <row r="82" spans="4:50">
      <c r="F82" s="11" t="s">
        <v>137</v>
      </c>
      <c r="G82" s="1" t="s">
        <v>579</v>
      </c>
      <c r="AO82" s="157"/>
      <c r="AP82" s="157"/>
      <c r="AQ82" s="157"/>
      <c r="AR82" s="157"/>
      <c r="AS82" s="157"/>
      <c r="AT82" s="157"/>
      <c r="AU82" s="157"/>
      <c r="AV82" s="157"/>
      <c r="AW82" s="157"/>
    </row>
    <row r="83" spans="4:50" ht="3" customHeight="1">
      <c r="AO83" s="43"/>
      <c r="AP83" s="43"/>
      <c r="AQ83" s="43"/>
      <c r="AR83" s="43"/>
      <c r="AS83" s="43"/>
      <c r="AT83" s="43"/>
      <c r="AU83" s="43"/>
      <c r="AV83" s="43"/>
      <c r="AW83" s="43"/>
    </row>
    <row r="84" spans="4:50">
      <c r="F84" s="1" t="s">
        <v>580</v>
      </c>
      <c r="Z84" s="42" t="s">
        <v>67</v>
      </c>
      <c r="AA84" s="11" t="s">
        <v>581</v>
      </c>
      <c r="AB84" s="42" t="s">
        <v>490</v>
      </c>
      <c r="AC84" s="11" t="s">
        <v>582</v>
      </c>
      <c r="AD84" s="42" t="s">
        <v>490</v>
      </c>
      <c r="AE84" s="11" t="s">
        <v>583</v>
      </c>
      <c r="AF84" s="42" t="s">
        <v>490</v>
      </c>
      <c r="AG84" s="11" t="s">
        <v>584</v>
      </c>
      <c r="AH84" s="42" t="s">
        <v>490</v>
      </c>
      <c r="AI84" s="11" t="s">
        <v>585</v>
      </c>
      <c r="AJ84" s="42" t="s">
        <v>490</v>
      </c>
      <c r="AK84" s="11" t="s">
        <v>586</v>
      </c>
      <c r="AL84" s="42" t="s">
        <v>69</v>
      </c>
      <c r="AO84" s="157">
        <f>SUM(AO72:AW82)</f>
        <v>0</v>
      </c>
      <c r="AP84" s="157"/>
      <c r="AQ84" s="157"/>
      <c r="AR84" s="157"/>
      <c r="AS84" s="157"/>
      <c r="AT84" s="157"/>
      <c r="AU84" s="157"/>
      <c r="AV84" s="157"/>
      <c r="AW84" s="157"/>
    </row>
    <row r="85" spans="4:50" ht="3" customHeight="1"/>
    <row r="86" spans="4:50" ht="12" customHeight="1">
      <c r="D86" s="7" t="s">
        <v>587</v>
      </c>
      <c r="E86" s="8" t="s">
        <v>588</v>
      </c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/>
      <c r="AF86" s="34"/>
      <c r="AG86" s="34"/>
      <c r="AH86" s="34"/>
      <c r="AI86" s="34"/>
      <c r="AJ86" s="34"/>
      <c r="AK86" s="34"/>
      <c r="AL86" s="34"/>
      <c r="AM86" s="34"/>
      <c r="AN86" s="34"/>
      <c r="AO86" s="34"/>
      <c r="AP86" s="34"/>
      <c r="AQ86" s="34"/>
      <c r="AR86" s="34"/>
      <c r="AS86" s="34"/>
      <c r="AT86" s="34"/>
      <c r="AU86" s="34"/>
      <c r="AV86" s="34"/>
      <c r="AW86" s="34"/>
      <c r="AX86" s="34"/>
    </row>
    <row r="87" spans="4:50" ht="3" customHeight="1"/>
    <row r="88" spans="4:50">
      <c r="D88" s="151" t="s">
        <v>346</v>
      </c>
      <c r="E88" s="139" t="s">
        <v>537</v>
      </c>
      <c r="F88" s="140"/>
      <c r="G88" s="140"/>
      <c r="H88" s="140"/>
      <c r="I88" s="140"/>
      <c r="J88" s="141"/>
      <c r="K88" s="151" t="s">
        <v>589</v>
      </c>
      <c r="L88" s="151"/>
      <c r="M88" s="151"/>
      <c r="N88" s="151"/>
      <c r="O88" s="151"/>
      <c r="P88" s="151"/>
      <c r="Q88" s="151" t="s">
        <v>347</v>
      </c>
      <c r="R88" s="151"/>
      <c r="S88" s="151"/>
      <c r="T88" s="151"/>
      <c r="U88" s="151"/>
      <c r="V88" s="151"/>
      <c r="W88" s="163" t="s">
        <v>590</v>
      </c>
      <c r="X88" s="151"/>
      <c r="Y88" s="151"/>
      <c r="Z88" s="151"/>
      <c r="AA88" s="151"/>
      <c r="AB88" s="151"/>
      <c r="AC88" s="151"/>
      <c r="AD88" s="151"/>
      <c r="AE88" s="151"/>
      <c r="AF88" s="151"/>
      <c r="AG88" s="151"/>
      <c r="AH88" s="151"/>
      <c r="AI88" s="151"/>
      <c r="AJ88" s="151"/>
      <c r="AK88" s="132" t="s">
        <v>591</v>
      </c>
      <c r="AL88" s="132"/>
      <c r="AM88" s="132"/>
      <c r="AN88" s="132"/>
      <c r="AO88" s="132"/>
      <c r="AP88" s="132"/>
      <c r="AQ88" s="132"/>
      <c r="AR88" s="132"/>
      <c r="AS88" s="151" t="s">
        <v>592</v>
      </c>
      <c r="AT88" s="151"/>
      <c r="AU88" s="151"/>
      <c r="AV88" s="151"/>
      <c r="AW88" s="151"/>
      <c r="AX88" s="151"/>
    </row>
    <row r="89" spans="4:50">
      <c r="D89" s="151"/>
      <c r="E89" s="133"/>
      <c r="F89" s="134"/>
      <c r="G89" s="134"/>
      <c r="H89" s="134"/>
      <c r="I89" s="134"/>
      <c r="J89" s="135"/>
      <c r="K89" s="151"/>
      <c r="L89" s="151"/>
      <c r="M89" s="151"/>
      <c r="N89" s="151"/>
      <c r="O89" s="151"/>
      <c r="P89" s="151"/>
      <c r="Q89" s="151"/>
      <c r="R89" s="151"/>
      <c r="S89" s="151"/>
      <c r="T89" s="151"/>
      <c r="U89" s="151"/>
      <c r="V89" s="151"/>
      <c r="W89" s="163"/>
      <c r="X89" s="151"/>
      <c r="Y89" s="151"/>
      <c r="Z89" s="151"/>
      <c r="AA89" s="151"/>
      <c r="AB89" s="151"/>
      <c r="AC89" s="151"/>
      <c r="AD89" s="151"/>
      <c r="AE89" s="151"/>
      <c r="AF89" s="151"/>
      <c r="AG89" s="151"/>
      <c r="AH89" s="151"/>
      <c r="AI89" s="151"/>
      <c r="AJ89" s="151"/>
      <c r="AK89" s="164"/>
      <c r="AL89" s="164"/>
      <c r="AM89" s="164"/>
      <c r="AN89" s="164"/>
      <c r="AO89" s="164"/>
      <c r="AP89" s="164"/>
      <c r="AQ89" s="164"/>
      <c r="AR89" s="164"/>
      <c r="AS89" s="151"/>
      <c r="AT89" s="151"/>
      <c r="AU89" s="151"/>
      <c r="AV89" s="151"/>
      <c r="AW89" s="151"/>
      <c r="AX89" s="151"/>
    </row>
    <row r="90" spans="4:50">
      <c r="D90" s="151"/>
      <c r="E90" s="133" t="s">
        <v>541</v>
      </c>
      <c r="F90" s="134"/>
      <c r="G90" s="134"/>
      <c r="H90" s="134"/>
      <c r="I90" s="134"/>
      <c r="J90" s="135"/>
      <c r="K90" s="151"/>
      <c r="L90" s="151"/>
      <c r="M90" s="151"/>
      <c r="N90" s="151"/>
      <c r="O90" s="151"/>
      <c r="P90" s="151"/>
      <c r="Q90" s="151"/>
      <c r="R90" s="151"/>
      <c r="S90" s="151"/>
      <c r="T90" s="151"/>
      <c r="U90" s="151"/>
      <c r="V90" s="151"/>
      <c r="W90" s="163" t="s">
        <v>593</v>
      </c>
      <c r="X90" s="151"/>
      <c r="Y90" s="151"/>
      <c r="Z90" s="151"/>
      <c r="AA90" s="151"/>
      <c r="AB90" s="151"/>
      <c r="AC90" s="151"/>
      <c r="AD90" s="151" t="s">
        <v>594</v>
      </c>
      <c r="AE90" s="151"/>
      <c r="AF90" s="151"/>
      <c r="AG90" s="151"/>
      <c r="AH90" s="151"/>
      <c r="AI90" s="151"/>
      <c r="AJ90" s="151"/>
      <c r="AK90" s="156" t="s">
        <v>595</v>
      </c>
      <c r="AL90" s="156"/>
      <c r="AM90" s="156"/>
      <c r="AN90" s="156"/>
      <c r="AO90" s="156"/>
      <c r="AP90" s="156"/>
      <c r="AQ90" s="156"/>
      <c r="AR90" s="156"/>
      <c r="AS90" s="151"/>
      <c r="AT90" s="151"/>
      <c r="AU90" s="151"/>
      <c r="AV90" s="151"/>
      <c r="AW90" s="151"/>
      <c r="AX90" s="151"/>
    </row>
    <row r="91" spans="4:50">
      <c r="D91" s="151"/>
      <c r="E91" s="136"/>
      <c r="F91" s="137"/>
      <c r="G91" s="137"/>
      <c r="H91" s="137"/>
      <c r="I91" s="137"/>
      <c r="J91" s="138"/>
      <c r="K91" s="151"/>
      <c r="L91" s="151"/>
      <c r="M91" s="151"/>
      <c r="N91" s="151"/>
      <c r="O91" s="151"/>
      <c r="P91" s="151"/>
      <c r="Q91" s="151"/>
      <c r="R91" s="151"/>
      <c r="S91" s="151"/>
      <c r="T91" s="151"/>
      <c r="U91" s="151"/>
      <c r="V91" s="151"/>
      <c r="W91" s="163"/>
      <c r="X91" s="151"/>
      <c r="Y91" s="151"/>
      <c r="Z91" s="151"/>
      <c r="AA91" s="151"/>
      <c r="AB91" s="151"/>
      <c r="AC91" s="151"/>
      <c r="AD91" s="151"/>
      <c r="AE91" s="151"/>
      <c r="AF91" s="151"/>
      <c r="AG91" s="151"/>
      <c r="AH91" s="151"/>
      <c r="AI91" s="151"/>
      <c r="AJ91" s="151"/>
      <c r="AK91" s="151"/>
      <c r="AL91" s="151"/>
      <c r="AM91" s="151"/>
      <c r="AN91" s="151"/>
      <c r="AO91" s="151"/>
      <c r="AP91" s="151"/>
      <c r="AQ91" s="151"/>
      <c r="AR91" s="151"/>
      <c r="AS91" s="151"/>
      <c r="AT91" s="151"/>
      <c r="AU91" s="151"/>
      <c r="AV91" s="151"/>
      <c r="AW91" s="151"/>
      <c r="AX91" s="151"/>
    </row>
    <row r="92" spans="4:50">
      <c r="D92" s="129" t="s">
        <v>201</v>
      </c>
      <c r="E92" s="158" t="s">
        <v>202</v>
      </c>
      <c r="F92" s="159"/>
      <c r="G92" s="159"/>
      <c r="H92" s="159"/>
      <c r="I92" s="159"/>
      <c r="J92" s="159"/>
      <c r="K92" s="158" t="s">
        <v>203</v>
      </c>
      <c r="L92" s="159"/>
      <c r="M92" s="159"/>
      <c r="N92" s="159"/>
      <c r="O92" s="159"/>
      <c r="P92" s="159"/>
      <c r="Q92" s="158" t="s">
        <v>203</v>
      </c>
      <c r="R92" s="159"/>
      <c r="S92" s="159"/>
      <c r="T92" s="159"/>
      <c r="U92" s="159"/>
      <c r="V92" s="159"/>
      <c r="W92" s="160" t="s">
        <v>204</v>
      </c>
      <c r="X92" s="161"/>
      <c r="Y92" s="161"/>
      <c r="Z92" s="161"/>
      <c r="AA92" s="161"/>
      <c r="AB92" s="161"/>
      <c r="AC92" s="161"/>
      <c r="AD92" s="162" t="s">
        <v>205</v>
      </c>
      <c r="AE92" s="161"/>
      <c r="AF92" s="161"/>
      <c r="AG92" s="161"/>
      <c r="AH92" s="161"/>
      <c r="AI92" s="161"/>
      <c r="AJ92" s="161"/>
      <c r="AK92" s="162" t="s">
        <v>354</v>
      </c>
      <c r="AL92" s="161"/>
      <c r="AM92" s="161"/>
      <c r="AN92" s="161"/>
      <c r="AO92" s="161"/>
      <c r="AP92" s="161"/>
      <c r="AQ92" s="161"/>
      <c r="AR92" s="161"/>
      <c r="AS92" s="162" t="s">
        <v>207</v>
      </c>
      <c r="AT92" s="161"/>
      <c r="AU92" s="161"/>
      <c r="AV92" s="161"/>
      <c r="AW92" s="161"/>
      <c r="AX92" s="161"/>
    </row>
    <row r="93" spans="4:50">
      <c r="D93" s="41"/>
      <c r="E93" s="152"/>
      <c r="F93" s="152"/>
      <c r="G93" s="152"/>
      <c r="H93" s="152"/>
      <c r="I93" s="152"/>
      <c r="J93" s="152"/>
      <c r="K93" s="152"/>
      <c r="L93" s="152"/>
      <c r="M93" s="152"/>
      <c r="N93" s="152"/>
      <c r="O93" s="152"/>
      <c r="P93" s="152"/>
      <c r="Q93" s="152"/>
      <c r="R93" s="152"/>
      <c r="S93" s="152"/>
      <c r="T93" s="152"/>
      <c r="U93" s="152"/>
      <c r="V93" s="152"/>
      <c r="W93" s="153"/>
      <c r="X93" s="154"/>
      <c r="Y93" s="154"/>
      <c r="Z93" s="154"/>
      <c r="AA93" s="154"/>
      <c r="AB93" s="154"/>
      <c r="AC93" s="154"/>
      <c r="AD93" s="154"/>
      <c r="AE93" s="154"/>
      <c r="AF93" s="154"/>
      <c r="AG93" s="154"/>
      <c r="AH93" s="154"/>
      <c r="AI93" s="154"/>
      <c r="AJ93" s="154"/>
      <c r="AK93" s="155"/>
      <c r="AL93" s="155"/>
      <c r="AM93" s="155"/>
      <c r="AN93" s="155"/>
      <c r="AO93" s="155"/>
      <c r="AP93" s="155"/>
      <c r="AQ93" s="155"/>
      <c r="AR93" s="155"/>
      <c r="AS93" s="154"/>
      <c r="AT93" s="154"/>
      <c r="AU93" s="154"/>
      <c r="AV93" s="154"/>
      <c r="AW93" s="154"/>
      <c r="AX93" s="154"/>
    </row>
    <row r="94" spans="4:50">
      <c r="D94" s="41"/>
      <c r="E94" s="152"/>
      <c r="F94" s="152"/>
      <c r="G94" s="152"/>
      <c r="H94" s="152"/>
      <c r="I94" s="152"/>
      <c r="J94" s="152"/>
      <c r="K94" s="152"/>
      <c r="L94" s="152"/>
      <c r="M94" s="152"/>
      <c r="N94" s="152"/>
      <c r="O94" s="152"/>
      <c r="P94" s="152"/>
      <c r="Q94" s="152"/>
      <c r="R94" s="152"/>
      <c r="S94" s="152"/>
      <c r="T94" s="152"/>
      <c r="U94" s="152"/>
      <c r="V94" s="152"/>
      <c r="W94" s="153"/>
      <c r="X94" s="154"/>
      <c r="Y94" s="154"/>
      <c r="Z94" s="154"/>
      <c r="AA94" s="154"/>
      <c r="AB94" s="154"/>
      <c r="AC94" s="154"/>
      <c r="AD94" s="154"/>
      <c r="AE94" s="154"/>
      <c r="AF94" s="154"/>
      <c r="AG94" s="154"/>
      <c r="AH94" s="154"/>
      <c r="AI94" s="154"/>
      <c r="AJ94" s="154"/>
      <c r="AK94" s="155"/>
      <c r="AL94" s="155"/>
      <c r="AM94" s="155"/>
      <c r="AN94" s="155"/>
      <c r="AO94" s="155"/>
      <c r="AP94" s="155"/>
      <c r="AQ94" s="155"/>
      <c r="AR94" s="155"/>
      <c r="AS94" s="154"/>
      <c r="AT94" s="154"/>
      <c r="AU94" s="154"/>
      <c r="AV94" s="154"/>
      <c r="AW94" s="154"/>
      <c r="AX94" s="154"/>
    </row>
    <row r="95" spans="4:50">
      <c r="D95" s="41"/>
      <c r="E95" s="152"/>
      <c r="F95" s="152"/>
      <c r="G95" s="152"/>
      <c r="H95" s="152"/>
      <c r="I95" s="152"/>
      <c r="J95" s="152"/>
      <c r="K95" s="152"/>
      <c r="L95" s="152"/>
      <c r="M95" s="152"/>
      <c r="N95" s="152"/>
      <c r="O95" s="152"/>
      <c r="P95" s="152"/>
      <c r="Q95" s="152"/>
      <c r="R95" s="152"/>
      <c r="S95" s="152"/>
      <c r="T95" s="152"/>
      <c r="U95" s="152"/>
      <c r="V95" s="152"/>
      <c r="W95" s="153"/>
      <c r="X95" s="154"/>
      <c r="Y95" s="154"/>
      <c r="Z95" s="154"/>
      <c r="AA95" s="154"/>
      <c r="AB95" s="154"/>
      <c r="AC95" s="154"/>
      <c r="AD95" s="154"/>
      <c r="AE95" s="154"/>
      <c r="AF95" s="154"/>
      <c r="AG95" s="154"/>
      <c r="AH95" s="154"/>
      <c r="AI95" s="154"/>
      <c r="AJ95" s="154"/>
      <c r="AK95" s="155"/>
      <c r="AL95" s="155"/>
      <c r="AM95" s="155"/>
      <c r="AN95" s="155"/>
      <c r="AO95" s="155"/>
      <c r="AP95" s="155"/>
      <c r="AQ95" s="155"/>
      <c r="AR95" s="155"/>
      <c r="AS95" s="154"/>
      <c r="AT95" s="154"/>
      <c r="AU95" s="154"/>
      <c r="AV95" s="154"/>
      <c r="AW95" s="154"/>
      <c r="AX95" s="154"/>
    </row>
    <row r="96" spans="4:50">
      <c r="D96" s="41"/>
      <c r="E96" s="152"/>
      <c r="F96" s="152"/>
      <c r="G96" s="152"/>
      <c r="H96" s="152"/>
      <c r="I96" s="152"/>
      <c r="J96" s="152"/>
      <c r="K96" s="152"/>
      <c r="L96" s="152"/>
      <c r="M96" s="152"/>
      <c r="N96" s="152"/>
      <c r="O96" s="152"/>
      <c r="P96" s="152"/>
      <c r="Q96" s="152"/>
      <c r="R96" s="152"/>
      <c r="S96" s="152"/>
      <c r="T96" s="152"/>
      <c r="U96" s="152"/>
      <c r="V96" s="152"/>
      <c r="W96" s="153"/>
      <c r="X96" s="154"/>
      <c r="Y96" s="154"/>
      <c r="Z96" s="154"/>
      <c r="AA96" s="154"/>
      <c r="AB96" s="154"/>
      <c r="AC96" s="154"/>
      <c r="AD96" s="154"/>
      <c r="AE96" s="154"/>
      <c r="AF96" s="154"/>
      <c r="AG96" s="154"/>
      <c r="AH96" s="154"/>
      <c r="AI96" s="154"/>
      <c r="AJ96" s="154"/>
      <c r="AK96" s="155"/>
      <c r="AL96" s="155"/>
      <c r="AM96" s="155"/>
      <c r="AN96" s="155"/>
      <c r="AO96" s="155"/>
      <c r="AP96" s="155"/>
      <c r="AQ96" s="155"/>
      <c r="AR96" s="155"/>
      <c r="AS96" s="154"/>
      <c r="AT96" s="154"/>
      <c r="AU96" s="154"/>
      <c r="AV96" s="154"/>
      <c r="AW96" s="154"/>
      <c r="AX96" s="154"/>
    </row>
    <row r="97" spans="4:50">
      <c r="D97" s="41"/>
      <c r="E97" s="152"/>
      <c r="F97" s="152"/>
      <c r="G97" s="152"/>
      <c r="H97" s="152"/>
      <c r="I97" s="152"/>
      <c r="J97" s="152"/>
      <c r="K97" s="152"/>
      <c r="L97" s="152"/>
      <c r="M97" s="152"/>
      <c r="N97" s="152"/>
      <c r="O97" s="152"/>
      <c r="P97" s="152"/>
      <c r="Q97" s="152"/>
      <c r="R97" s="152"/>
      <c r="S97" s="152"/>
      <c r="T97" s="152"/>
      <c r="U97" s="152"/>
      <c r="V97" s="152"/>
      <c r="W97" s="153"/>
      <c r="X97" s="154"/>
      <c r="Y97" s="154"/>
      <c r="Z97" s="154"/>
      <c r="AA97" s="154"/>
      <c r="AB97" s="154"/>
      <c r="AC97" s="154"/>
      <c r="AD97" s="154"/>
      <c r="AE97" s="154"/>
      <c r="AF97" s="154"/>
      <c r="AG97" s="154"/>
      <c r="AH97" s="154"/>
      <c r="AI97" s="154"/>
      <c r="AJ97" s="154"/>
      <c r="AK97" s="155"/>
      <c r="AL97" s="155"/>
      <c r="AM97" s="155"/>
      <c r="AN97" s="155"/>
      <c r="AO97" s="155"/>
      <c r="AP97" s="155"/>
      <c r="AQ97" s="155"/>
      <c r="AR97" s="155"/>
      <c r="AS97" s="154"/>
      <c r="AT97" s="154"/>
      <c r="AU97" s="154"/>
      <c r="AV97" s="154"/>
      <c r="AW97" s="154"/>
      <c r="AX97" s="154"/>
    </row>
    <row r="100" spans="4:50">
      <c r="AS100" s="131" t="s">
        <v>364</v>
      </c>
      <c r="AT100" s="131"/>
      <c r="AU100" s="131"/>
    </row>
    <row r="101" spans="4:50">
      <c r="AS101" s="131"/>
      <c r="AT101" s="131"/>
      <c r="AU101" s="131"/>
    </row>
  </sheetData>
  <mergeCells count="276">
    <mergeCell ref="AO7:AX7"/>
    <mergeCell ref="E16:AO16"/>
    <mergeCell ref="AP16:AX16"/>
    <mergeCell ref="E17:J17"/>
    <mergeCell ref="AF17:AI17"/>
    <mergeCell ref="AP17:AS17"/>
    <mergeCell ref="E20:J20"/>
    <mergeCell ref="K20:Q20"/>
    <mergeCell ref="R20:W20"/>
    <mergeCell ref="X20:AA20"/>
    <mergeCell ref="AB20:AE20"/>
    <mergeCell ref="AF20:AI20"/>
    <mergeCell ref="AJ20:AO20"/>
    <mergeCell ref="AP20:AS20"/>
    <mergeCell ref="AT20:AX20"/>
    <mergeCell ref="D5:L12"/>
    <mergeCell ref="AO3:AX5"/>
    <mergeCell ref="E21:J21"/>
    <mergeCell ref="K21:Q21"/>
    <mergeCell ref="R21:W21"/>
    <mergeCell ref="X21:AA21"/>
    <mergeCell ref="AB21:AE21"/>
    <mergeCell ref="AF21:AI21"/>
    <mergeCell ref="AJ21:AO21"/>
    <mergeCell ref="AP21:AS21"/>
    <mergeCell ref="AT21:AX21"/>
    <mergeCell ref="E22:J22"/>
    <mergeCell ref="K22:Q22"/>
    <mergeCell ref="R22:W22"/>
    <mergeCell ref="X22:AA22"/>
    <mergeCell ref="AB22:AE22"/>
    <mergeCell ref="AF22:AI22"/>
    <mergeCell ref="AJ22:AO22"/>
    <mergeCell ref="AP22:AS22"/>
    <mergeCell ref="AT22:AX22"/>
    <mergeCell ref="E23:J23"/>
    <mergeCell ref="K23:Q23"/>
    <mergeCell ref="R23:W23"/>
    <mergeCell ref="X23:AA23"/>
    <mergeCell ref="AB23:AE23"/>
    <mergeCell ref="AF23:AI23"/>
    <mergeCell ref="AJ23:AO23"/>
    <mergeCell ref="AP23:AS23"/>
    <mergeCell ref="AT23:AX23"/>
    <mergeCell ref="E24:J24"/>
    <mergeCell ref="K24:Q24"/>
    <mergeCell ref="R24:W24"/>
    <mergeCell ref="X24:AA24"/>
    <mergeCell ref="AB24:AE24"/>
    <mergeCell ref="AF24:AI24"/>
    <mergeCell ref="AJ24:AO24"/>
    <mergeCell ref="AP24:AS24"/>
    <mergeCell ref="AT24:AX24"/>
    <mergeCell ref="E28:Z28"/>
    <mergeCell ref="AA28:AT28"/>
    <mergeCell ref="W29:Z29"/>
    <mergeCell ref="E32:H32"/>
    <mergeCell ref="I32:L32"/>
    <mergeCell ref="M32:R32"/>
    <mergeCell ref="S32:V32"/>
    <mergeCell ref="W32:Z32"/>
    <mergeCell ref="AA32:AE32"/>
    <mergeCell ref="AF32:AJ32"/>
    <mergeCell ref="AK32:AP32"/>
    <mergeCell ref="AQ32:AT32"/>
    <mergeCell ref="AK29:AP31"/>
    <mergeCell ref="S29:V31"/>
    <mergeCell ref="AQ29:AT31"/>
    <mergeCell ref="W30:Z31"/>
    <mergeCell ref="AA29:AE31"/>
    <mergeCell ref="AF29:AJ31"/>
    <mergeCell ref="AU32:AX32"/>
    <mergeCell ref="E33:H33"/>
    <mergeCell ref="I33:L33"/>
    <mergeCell ref="M33:R33"/>
    <mergeCell ref="S33:V33"/>
    <mergeCell ref="W33:Z33"/>
    <mergeCell ref="AA33:AE33"/>
    <mergeCell ref="AF33:AJ33"/>
    <mergeCell ref="AK33:AP33"/>
    <mergeCell ref="AQ33:AT33"/>
    <mergeCell ref="AU33:AX33"/>
    <mergeCell ref="AU34:AX34"/>
    <mergeCell ref="E35:H35"/>
    <mergeCell ref="I35:L35"/>
    <mergeCell ref="M35:R35"/>
    <mergeCell ref="S35:V35"/>
    <mergeCell ref="W35:Z35"/>
    <mergeCell ref="AA35:AE35"/>
    <mergeCell ref="AF35:AJ35"/>
    <mergeCell ref="AK35:AP35"/>
    <mergeCell ref="AQ35:AT35"/>
    <mergeCell ref="AU35:AX35"/>
    <mergeCell ref="E34:H34"/>
    <mergeCell ref="I34:L34"/>
    <mergeCell ref="M34:R34"/>
    <mergeCell ref="S34:V34"/>
    <mergeCell ref="W34:Z34"/>
    <mergeCell ref="AA34:AE34"/>
    <mergeCell ref="AF34:AJ34"/>
    <mergeCell ref="AK34:AP34"/>
    <mergeCell ref="AQ34:AT34"/>
    <mergeCell ref="AU36:AX36"/>
    <mergeCell ref="AD43:AJ43"/>
    <mergeCell ref="E44:J44"/>
    <mergeCell ref="K44:P44"/>
    <mergeCell ref="Q44:W44"/>
    <mergeCell ref="X44:AC44"/>
    <mergeCell ref="AD44:AJ44"/>
    <mergeCell ref="AK44:AQ44"/>
    <mergeCell ref="AR44:AX44"/>
    <mergeCell ref="E36:H36"/>
    <mergeCell ref="I36:L36"/>
    <mergeCell ref="M36:R36"/>
    <mergeCell ref="S36:V36"/>
    <mergeCell ref="W36:Z36"/>
    <mergeCell ref="AA36:AE36"/>
    <mergeCell ref="AF36:AJ36"/>
    <mergeCell ref="AK36:AP36"/>
    <mergeCell ref="AQ36:AT36"/>
    <mergeCell ref="E45:J45"/>
    <mergeCell ref="K45:P45"/>
    <mergeCell ref="Q45:W45"/>
    <mergeCell ref="X45:AC45"/>
    <mergeCell ref="AD45:AJ45"/>
    <mergeCell ref="AK45:AQ45"/>
    <mergeCell ref="AR45:AX45"/>
    <mergeCell ref="E46:J46"/>
    <mergeCell ref="K46:P46"/>
    <mergeCell ref="Q46:W46"/>
    <mergeCell ref="X46:AC46"/>
    <mergeCell ref="AD46:AJ46"/>
    <mergeCell ref="AK46:AQ46"/>
    <mergeCell ref="AR46:AX46"/>
    <mergeCell ref="E47:J47"/>
    <mergeCell ref="K47:P47"/>
    <mergeCell ref="Q47:W47"/>
    <mergeCell ref="X47:AC47"/>
    <mergeCell ref="AD47:AJ47"/>
    <mergeCell ref="AK47:AQ47"/>
    <mergeCell ref="AR47:AX47"/>
    <mergeCell ref="E48:J48"/>
    <mergeCell ref="K48:P48"/>
    <mergeCell ref="Q48:W48"/>
    <mergeCell ref="X48:AC48"/>
    <mergeCell ref="AD48:AJ48"/>
    <mergeCell ref="AK48:AQ48"/>
    <mergeCell ref="AR48:AX48"/>
    <mergeCell ref="U53:AB53"/>
    <mergeCell ref="AC53:AX53"/>
    <mergeCell ref="U54:AB54"/>
    <mergeCell ref="AC54:AI54"/>
    <mergeCell ref="AJ54:AQ54"/>
    <mergeCell ref="AR54:AX54"/>
    <mergeCell ref="F55:P55"/>
    <mergeCell ref="Q55:T55"/>
    <mergeCell ref="U55:AB55"/>
    <mergeCell ref="AC55:AI55"/>
    <mergeCell ref="AJ55:AQ55"/>
    <mergeCell ref="AR55:AX55"/>
    <mergeCell ref="F53:P54"/>
    <mergeCell ref="Q53:T54"/>
    <mergeCell ref="F56:P56"/>
    <mergeCell ref="Q56:T56"/>
    <mergeCell ref="U56:AB56"/>
    <mergeCell ref="AC56:AI56"/>
    <mergeCell ref="AJ56:AQ56"/>
    <mergeCell ref="AR56:AX56"/>
    <mergeCell ref="F57:P57"/>
    <mergeCell ref="Q57:T57"/>
    <mergeCell ref="U57:AB57"/>
    <mergeCell ref="AC57:AI57"/>
    <mergeCell ref="AJ57:AQ57"/>
    <mergeCell ref="AR57:AX57"/>
    <mergeCell ref="W68:AC68"/>
    <mergeCell ref="AH68:AM68"/>
    <mergeCell ref="AO68:AW68"/>
    <mergeCell ref="AO72:AW72"/>
    <mergeCell ref="AO74:AW74"/>
    <mergeCell ref="AO76:AW76"/>
    <mergeCell ref="F58:P58"/>
    <mergeCell ref="Q58:T58"/>
    <mergeCell ref="U58:AB58"/>
    <mergeCell ref="AC58:AI58"/>
    <mergeCell ref="AJ58:AQ58"/>
    <mergeCell ref="AR58:AX58"/>
    <mergeCell ref="AO62:AW62"/>
    <mergeCell ref="U64:AM64"/>
    <mergeCell ref="AO64:AW64"/>
    <mergeCell ref="E92:J92"/>
    <mergeCell ref="K92:P92"/>
    <mergeCell ref="Q92:V92"/>
    <mergeCell ref="W92:AC92"/>
    <mergeCell ref="AD92:AJ92"/>
    <mergeCell ref="AK92:AR92"/>
    <mergeCell ref="AS92:AX92"/>
    <mergeCell ref="E88:J89"/>
    <mergeCell ref="E90:J91"/>
    <mergeCell ref="K88:P91"/>
    <mergeCell ref="Q88:V91"/>
    <mergeCell ref="W90:AC91"/>
    <mergeCell ref="AD90:AJ91"/>
    <mergeCell ref="W88:AJ89"/>
    <mergeCell ref="AK88:AR89"/>
    <mergeCell ref="AK90:AR91"/>
    <mergeCell ref="AS88:AX91"/>
    <mergeCell ref="AS95:AX95"/>
    <mergeCell ref="E96:J96"/>
    <mergeCell ref="K96:P96"/>
    <mergeCell ref="Q96:V96"/>
    <mergeCell ref="W96:AC96"/>
    <mergeCell ref="AD96:AJ96"/>
    <mergeCell ref="AK96:AR96"/>
    <mergeCell ref="AS96:AX96"/>
    <mergeCell ref="E93:J93"/>
    <mergeCell ref="K93:P93"/>
    <mergeCell ref="Q93:V93"/>
    <mergeCell ref="W93:AC93"/>
    <mergeCell ref="AD93:AJ93"/>
    <mergeCell ref="AK93:AR93"/>
    <mergeCell ref="AS93:AX93"/>
    <mergeCell ref="E94:J94"/>
    <mergeCell ref="K94:P94"/>
    <mergeCell ref="Q94:V94"/>
    <mergeCell ref="W94:AC94"/>
    <mergeCell ref="AD94:AJ94"/>
    <mergeCell ref="AK94:AR94"/>
    <mergeCell ref="AS94:AX94"/>
    <mergeCell ref="D16:D19"/>
    <mergeCell ref="D28:D31"/>
    <mergeCell ref="D40:D43"/>
    <mergeCell ref="D88:D91"/>
    <mergeCell ref="E53:E54"/>
    <mergeCell ref="AT17:AX19"/>
    <mergeCell ref="AP18:AS19"/>
    <mergeCell ref="R17:W19"/>
    <mergeCell ref="AJ17:AO19"/>
    <mergeCell ref="AF18:AI19"/>
    <mergeCell ref="X17:AA19"/>
    <mergeCell ref="AB17:AE19"/>
    <mergeCell ref="K17:Q19"/>
    <mergeCell ref="E18:J19"/>
    <mergeCell ref="E29:H31"/>
    <mergeCell ref="I29:L31"/>
    <mergeCell ref="M29:R31"/>
    <mergeCell ref="AO78:AW78"/>
    <mergeCell ref="AO80:AW80"/>
    <mergeCell ref="AO82:AW82"/>
    <mergeCell ref="AO84:AW84"/>
    <mergeCell ref="W66:AC66"/>
    <mergeCell ref="AH66:AM66"/>
    <mergeCell ref="AO66:AW66"/>
    <mergeCell ref="AS100:AU101"/>
    <mergeCell ref="AU28:AX31"/>
    <mergeCell ref="E42:J43"/>
    <mergeCell ref="E40:J41"/>
    <mergeCell ref="AK40:AQ43"/>
    <mergeCell ref="AR40:AX43"/>
    <mergeCell ref="AD40:AJ42"/>
    <mergeCell ref="K40:P43"/>
    <mergeCell ref="Q40:W43"/>
    <mergeCell ref="X40:AC41"/>
    <mergeCell ref="X42:AC43"/>
    <mergeCell ref="E97:J97"/>
    <mergeCell ref="K97:P97"/>
    <mergeCell ref="Q97:V97"/>
    <mergeCell ref="W97:AC97"/>
    <mergeCell ref="AD97:AJ97"/>
    <mergeCell ref="AK97:AR97"/>
    <mergeCell ref="AS97:AX97"/>
    <mergeCell ref="E95:J95"/>
    <mergeCell ref="K95:P95"/>
    <mergeCell ref="Q95:V95"/>
    <mergeCell ref="W95:AC95"/>
    <mergeCell ref="AD95:AJ95"/>
    <mergeCell ref="AK95:AR95"/>
  </mergeCells>
  <hyperlinks>
    <hyperlink ref="AS100:AU101" location="INDUK2!A1" display="HOME" xr:uid="{00000000-0004-0000-0D00-000000000000}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4"/>
  </sheetPr>
  <dimension ref="B3:BH83"/>
  <sheetViews>
    <sheetView topLeftCell="A69" workbookViewId="0">
      <selection activeCell="D3" sqref="D3:BH83"/>
    </sheetView>
  </sheetViews>
  <sheetFormatPr defaultColWidth="9.1796875" defaultRowHeight="11.5"/>
  <cols>
    <col min="1" max="2" width="9.1796875" style="1"/>
    <col min="3" max="60" width="3.453125" style="1" customWidth="1"/>
    <col min="61" max="16384" width="9.1796875" style="1"/>
  </cols>
  <sheetData>
    <row r="3" spans="2:60" ht="15.5">
      <c r="D3" s="3"/>
      <c r="E3" s="4"/>
      <c r="F3" s="4"/>
      <c r="G3" s="4"/>
      <c r="H3" s="4"/>
      <c r="I3" s="4"/>
      <c r="J3" s="4"/>
      <c r="K3" s="4"/>
      <c r="L3" s="17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92" t="s">
        <v>596</v>
      </c>
      <c r="BA3" s="192"/>
      <c r="BB3" s="192"/>
      <c r="BC3" s="192"/>
      <c r="BD3" s="192"/>
      <c r="BE3" s="192"/>
      <c r="BF3" s="192"/>
      <c r="BG3" s="192"/>
      <c r="BH3" s="193"/>
    </row>
    <row r="4" spans="2:60" ht="18">
      <c r="D4" s="5" t="s">
        <v>184</v>
      </c>
      <c r="E4" s="6"/>
      <c r="F4" s="6"/>
      <c r="G4" s="6"/>
      <c r="H4" s="6"/>
      <c r="I4" s="6"/>
      <c r="J4" s="6"/>
      <c r="K4" s="6"/>
      <c r="L4" s="19"/>
      <c r="M4" s="20"/>
      <c r="N4" s="20"/>
      <c r="O4" s="20"/>
      <c r="P4" s="21" t="s">
        <v>1</v>
      </c>
      <c r="Q4" s="20"/>
      <c r="R4" s="20"/>
      <c r="S4" s="20"/>
      <c r="T4" s="20"/>
      <c r="U4" s="20"/>
      <c r="V4" s="20"/>
      <c r="W4" s="20"/>
      <c r="X4" s="20"/>
      <c r="Y4" s="20"/>
      <c r="Z4" s="20"/>
      <c r="AA4" s="29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194"/>
      <c r="BA4" s="194"/>
      <c r="BB4" s="194"/>
      <c r="BC4" s="194"/>
      <c r="BD4" s="194"/>
      <c r="BE4" s="194"/>
      <c r="BF4" s="194"/>
      <c r="BG4" s="194"/>
      <c r="BH4" s="195"/>
    </row>
    <row r="5" spans="2:60" ht="14">
      <c r="D5" s="188" t="s">
        <v>597</v>
      </c>
      <c r="E5" s="189"/>
      <c r="F5" s="189"/>
      <c r="G5" s="189"/>
      <c r="H5" s="189"/>
      <c r="I5" s="189"/>
      <c r="J5" s="189"/>
      <c r="K5" s="189"/>
      <c r="L5" s="189"/>
      <c r="M5" s="20"/>
      <c r="N5" s="20"/>
      <c r="O5" s="20"/>
      <c r="P5" s="22" t="s">
        <v>185</v>
      </c>
      <c r="Q5" s="20"/>
      <c r="R5" s="20"/>
      <c r="S5" s="20"/>
      <c r="T5" s="20"/>
      <c r="U5" s="20"/>
      <c r="V5" s="20"/>
      <c r="W5" s="20"/>
      <c r="X5" s="20"/>
      <c r="Y5" s="20"/>
      <c r="Z5" s="20"/>
      <c r="AA5" s="29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194"/>
      <c r="BA5" s="194"/>
      <c r="BB5" s="194"/>
      <c r="BC5" s="194"/>
      <c r="BD5" s="194"/>
      <c r="BE5" s="194"/>
      <c r="BF5" s="194"/>
      <c r="BG5" s="194"/>
      <c r="BH5" s="195"/>
    </row>
    <row r="6" spans="2:60" ht="3" customHeight="1">
      <c r="D6" s="188"/>
      <c r="E6" s="189"/>
      <c r="F6" s="189"/>
      <c r="G6" s="189"/>
      <c r="H6" s="189"/>
      <c r="I6" s="189"/>
      <c r="J6" s="189"/>
      <c r="K6" s="189"/>
      <c r="L6" s="189"/>
      <c r="M6" s="20"/>
      <c r="N6" s="20"/>
      <c r="O6" s="20"/>
      <c r="P6" s="23"/>
      <c r="Q6" s="20"/>
      <c r="R6" s="20"/>
      <c r="S6" s="20"/>
      <c r="T6" s="20"/>
      <c r="U6" s="20"/>
      <c r="V6" s="20"/>
      <c r="W6" s="20"/>
      <c r="X6" s="20"/>
      <c r="Y6" s="20"/>
      <c r="Z6" s="20"/>
      <c r="AA6" s="29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30"/>
      <c r="BC6" s="30"/>
      <c r="BD6" s="30"/>
      <c r="BE6" s="30"/>
      <c r="BF6" s="30"/>
      <c r="BG6" s="30"/>
      <c r="BH6" s="31"/>
    </row>
    <row r="7" spans="2:60">
      <c r="D7" s="188"/>
      <c r="E7" s="189"/>
      <c r="F7" s="189"/>
      <c r="G7" s="189"/>
      <c r="H7" s="189"/>
      <c r="I7" s="189"/>
      <c r="J7" s="189"/>
      <c r="K7" s="189"/>
      <c r="L7" s="189"/>
      <c r="M7" s="20"/>
      <c r="N7" s="20"/>
      <c r="O7" s="20"/>
      <c r="P7" s="23" t="s">
        <v>8</v>
      </c>
      <c r="Q7" s="20"/>
      <c r="R7" s="20"/>
      <c r="S7" s="20"/>
      <c r="T7" s="20"/>
      <c r="U7" s="20"/>
      <c r="V7" s="20"/>
      <c r="W7" s="20"/>
      <c r="X7" s="20"/>
      <c r="Y7" s="20"/>
      <c r="Z7" s="20"/>
      <c r="AA7" s="29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186" t="s">
        <v>188</v>
      </c>
      <c r="BA7" s="186"/>
      <c r="BB7" s="186"/>
      <c r="BC7" s="186"/>
      <c r="BD7" s="186"/>
      <c r="BE7" s="186"/>
      <c r="BF7" s="186"/>
      <c r="BG7" s="186"/>
      <c r="BH7" s="187"/>
    </row>
    <row r="8" spans="2:60" ht="14">
      <c r="D8" s="188"/>
      <c r="E8" s="189"/>
      <c r="F8" s="189"/>
      <c r="G8" s="189"/>
      <c r="H8" s="189"/>
      <c r="I8" s="189"/>
      <c r="J8" s="189"/>
      <c r="K8" s="189"/>
      <c r="L8" s="189"/>
      <c r="M8" s="20"/>
      <c r="N8" s="20"/>
      <c r="O8" s="20"/>
      <c r="P8" s="24"/>
      <c r="Q8" s="27" t="s">
        <v>598</v>
      </c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0"/>
      <c r="AZ8" s="20"/>
      <c r="BA8" s="20"/>
      <c r="BB8" s="28">
        <f>INDUK1!E14</f>
        <v>2</v>
      </c>
      <c r="BC8" s="28">
        <f>INDUK1!G14</f>
        <v>0</v>
      </c>
      <c r="BD8" s="28">
        <f>INDUK1!I14</f>
        <v>2</v>
      </c>
      <c r="BE8" s="28">
        <f>INDUK1!K14</f>
        <v>5</v>
      </c>
      <c r="BF8" s="30"/>
      <c r="BG8" s="30"/>
      <c r="BH8" s="31"/>
    </row>
    <row r="9" spans="2:60" ht="14">
      <c r="D9" s="188"/>
      <c r="E9" s="189"/>
      <c r="F9" s="189"/>
      <c r="G9" s="189"/>
      <c r="H9" s="189"/>
      <c r="I9" s="189"/>
      <c r="J9" s="189"/>
      <c r="K9" s="189"/>
      <c r="L9" s="189"/>
      <c r="M9" s="20"/>
      <c r="N9" s="20"/>
      <c r="O9" s="20"/>
      <c r="P9" s="25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0"/>
      <c r="AZ9" s="20"/>
      <c r="BA9" s="20"/>
      <c r="BB9" s="30"/>
      <c r="BC9" s="30"/>
      <c r="BD9" s="30"/>
      <c r="BE9" s="30"/>
      <c r="BF9" s="30"/>
      <c r="BG9" s="30"/>
      <c r="BH9" s="31"/>
    </row>
    <row r="10" spans="2:60" ht="3" customHeight="1">
      <c r="D10" s="188"/>
      <c r="E10" s="189"/>
      <c r="F10" s="189"/>
      <c r="G10" s="189"/>
      <c r="H10" s="189"/>
      <c r="I10" s="189"/>
      <c r="J10" s="189"/>
      <c r="K10" s="189"/>
      <c r="L10" s="189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9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30"/>
      <c r="BC10" s="30"/>
      <c r="BD10" s="30"/>
      <c r="BE10" s="30"/>
      <c r="BF10" s="30"/>
      <c r="BG10" s="30"/>
      <c r="BH10" s="31"/>
    </row>
    <row r="11" spans="2:60" ht="14">
      <c r="D11" s="188"/>
      <c r="E11" s="189"/>
      <c r="F11" s="189"/>
      <c r="G11" s="189"/>
      <c r="H11" s="189"/>
      <c r="I11" s="189"/>
      <c r="J11" s="189"/>
      <c r="K11" s="189"/>
      <c r="L11" s="189"/>
      <c r="M11" s="20"/>
      <c r="N11" s="20"/>
      <c r="O11" s="20"/>
      <c r="P11" s="25"/>
      <c r="Q11" s="25" t="s">
        <v>28</v>
      </c>
      <c r="R11" s="20"/>
      <c r="S11" s="20"/>
      <c r="T11" s="28">
        <f>INDUK1!AF21</f>
        <v>0</v>
      </c>
      <c r="U11" s="28">
        <f>INDUK1!AG21</f>
        <v>0</v>
      </c>
      <c r="V11" s="28">
        <f>INDUK1!AH21</f>
        <v>0</v>
      </c>
      <c r="W11" s="28">
        <f>INDUK1!AI21</f>
        <v>0</v>
      </c>
      <c r="X11" s="28">
        <f>INDUK1!AJ21</f>
        <v>0</v>
      </c>
      <c r="Y11" s="28">
        <f>INDUK1!AK21</f>
        <v>0</v>
      </c>
      <c r="Z11" s="28">
        <f>INDUK1!AL21</f>
        <v>0</v>
      </c>
      <c r="AA11" s="28">
        <f>INDUK1!AM21</f>
        <v>0</v>
      </c>
      <c r="AB11" s="28">
        <f>INDUK1!AN21</f>
        <v>0</v>
      </c>
      <c r="AC11" s="28">
        <f>INDUK1!AO21</f>
        <v>0</v>
      </c>
      <c r="AD11" s="28">
        <f>INDUK1!AP21</f>
        <v>0</v>
      </c>
      <c r="AE11" s="28">
        <f>INDUK1!AQ21</f>
        <v>0</v>
      </c>
      <c r="AF11" s="28">
        <f>INDUK1!AR21</f>
        <v>0</v>
      </c>
      <c r="AG11" s="28">
        <f>INDUK1!AS21</f>
        <v>0</v>
      </c>
      <c r="AH11" s="28">
        <f>INDUK1!AT21</f>
        <v>0</v>
      </c>
      <c r="AI11" s="28">
        <f>INDUK1!AU21</f>
        <v>0</v>
      </c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30"/>
      <c r="BC11" s="30"/>
      <c r="BD11" s="30"/>
      <c r="BE11" s="30"/>
      <c r="BF11" s="30"/>
      <c r="BG11" s="30"/>
      <c r="BH11" s="31"/>
    </row>
    <row r="12" spans="2:60">
      <c r="D12" s="190"/>
      <c r="E12" s="191"/>
      <c r="F12" s="191"/>
      <c r="G12" s="191"/>
      <c r="H12" s="191"/>
      <c r="I12" s="191"/>
      <c r="J12" s="191"/>
      <c r="K12" s="191"/>
      <c r="L12" s="191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32"/>
    </row>
    <row r="13" spans="2:60" ht="3" customHeight="1"/>
    <row r="14" spans="2:60" s="2" customFormat="1" ht="3" customHeight="1">
      <c r="B14" s="1"/>
      <c r="C14" s="1"/>
    </row>
    <row r="15" spans="2:60" s="2" customFormat="1">
      <c r="B15" s="1"/>
      <c r="C15" s="1"/>
      <c r="D15" s="7" t="s">
        <v>151</v>
      </c>
      <c r="E15" s="8" t="s">
        <v>599</v>
      </c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</row>
    <row r="16" spans="2:60" ht="3" customHeight="1"/>
    <row r="17" spans="4:60"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</row>
    <row r="18" spans="4:60"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73" t="s">
        <v>600</v>
      </c>
      <c r="AZ18" s="173"/>
      <c r="BA18" s="173"/>
      <c r="BB18" s="173"/>
      <c r="BC18" s="173"/>
      <c r="BD18" s="173"/>
      <c r="BE18" s="173"/>
      <c r="BF18" s="173"/>
      <c r="BG18" s="173"/>
      <c r="BH18" s="10"/>
    </row>
    <row r="19" spans="4:60" ht="3" customHeight="1"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</row>
    <row r="20" spans="4:60">
      <c r="D20" s="10"/>
      <c r="E20" s="11">
        <v>1</v>
      </c>
      <c r="F20" s="12" t="s">
        <v>601</v>
      </c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57"/>
      <c r="AZ20" s="157"/>
      <c r="BA20" s="157"/>
      <c r="BB20" s="157"/>
      <c r="BC20" s="157"/>
      <c r="BD20" s="157"/>
      <c r="BE20" s="157"/>
      <c r="BF20" s="157"/>
      <c r="BG20" s="157"/>
      <c r="BH20" s="10"/>
    </row>
    <row r="21" spans="4:60" ht="3" customHeight="1">
      <c r="D21" s="10"/>
      <c r="E21" s="10"/>
      <c r="F21" s="12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</row>
    <row r="22" spans="4:60">
      <c r="D22" s="10"/>
      <c r="E22" s="11">
        <v>2</v>
      </c>
      <c r="F22" s="12" t="s">
        <v>602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57"/>
      <c r="AZ22" s="157"/>
      <c r="BA22" s="157"/>
      <c r="BB22" s="157"/>
      <c r="BC22" s="157"/>
      <c r="BD22" s="157"/>
      <c r="BE22" s="157"/>
      <c r="BF22" s="157"/>
      <c r="BG22" s="157"/>
      <c r="BH22" s="10"/>
    </row>
    <row r="23" spans="4:60" ht="3" customHeight="1">
      <c r="D23" s="10"/>
      <c r="E23" s="10"/>
      <c r="F23" s="12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</row>
    <row r="24" spans="4:60">
      <c r="D24" s="10"/>
      <c r="E24" s="11">
        <v>3</v>
      </c>
      <c r="F24" s="12" t="s">
        <v>603</v>
      </c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57"/>
      <c r="AZ24" s="157"/>
      <c r="BA24" s="157"/>
      <c r="BB24" s="157"/>
      <c r="BC24" s="157"/>
      <c r="BD24" s="157"/>
      <c r="BE24" s="157"/>
      <c r="BF24" s="157"/>
      <c r="BG24" s="157"/>
      <c r="BH24" s="10"/>
    </row>
    <row r="25" spans="4:60" ht="3" customHeight="1">
      <c r="D25" s="10"/>
      <c r="E25" s="10"/>
      <c r="F25" s="12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</row>
    <row r="26" spans="4:60">
      <c r="D26" s="10"/>
      <c r="E26" s="11">
        <v>4</v>
      </c>
      <c r="F26" s="12" t="s">
        <v>604</v>
      </c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57"/>
      <c r="AZ26" s="157"/>
      <c r="BA26" s="157"/>
      <c r="BB26" s="157"/>
      <c r="BC26" s="157"/>
      <c r="BD26" s="157"/>
      <c r="BE26" s="157"/>
      <c r="BF26" s="157"/>
      <c r="BG26" s="157"/>
      <c r="BH26" s="10"/>
    </row>
    <row r="27" spans="4:60" ht="3" customHeight="1">
      <c r="D27" s="10"/>
      <c r="E27" s="10"/>
      <c r="F27" s="12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</row>
    <row r="28" spans="4:60">
      <c r="D28" s="10"/>
      <c r="E28" s="11">
        <v>5</v>
      </c>
      <c r="F28" s="12" t="s">
        <v>605</v>
      </c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57"/>
      <c r="AZ28" s="157"/>
      <c r="BA28" s="157"/>
      <c r="BB28" s="157"/>
      <c r="BC28" s="157"/>
      <c r="BD28" s="157"/>
      <c r="BE28" s="157"/>
      <c r="BF28" s="157"/>
      <c r="BG28" s="157"/>
      <c r="BH28" s="10"/>
    </row>
    <row r="29" spans="4:60" ht="3" customHeight="1">
      <c r="D29" s="10"/>
      <c r="E29" s="10"/>
      <c r="F29" s="12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</row>
    <row r="30" spans="4:60">
      <c r="D30" s="10"/>
      <c r="E30" s="11">
        <v>6</v>
      </c>
      <c r="F30" s="12" t="s">
        <v>606</v>
      </c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57"/>
      <c r="AZ30" s="157"/>
      <c r="BA30" s="157"/>
      <c r="BB30" s="157"/>
      <c r="BC30" s="157"/>
      <c r="BD30" s="157"/>
      <c r="BE30" s="157"/>
      <c r="BF30" s="157"/>
      <c r="BG30" s="157"/>
      <c r="BH30" s="10"/>
    </row>
    <row r="31" spans="4:60"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</row>
    <row r="33" spans="2:60" s="2" customFormat="1">
      <c r="B33" s="1"/>
      <c r="C33" s="1"/>
      <c r="D33" s="7" t="s">
        <v>515</v>
      </c>
      <c r="E33" s="8" t="s">
        <v>607</v>
      </c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</row>
    <row r="34" spans="2:60" ht="3" customHeight="1"/>
    <row r="35" spans="2:60">
      <c r="E35" s="7" t="s">
        <v>25</v>
      </c>
      <c r="F35" s="8" t="s">
        <v>608</v>
      </c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</row>
    <row r="36" spans="2:60" ht="4" customHeight="1"/>
    <row r="37" spans="2:60">
      <c r="E37" s="139" t="s">
        <v>609</v>
      </c>
      <c r="F37" s="140"/>
      <c r="G37" s="140"/>
      <c r="H37" s="140"/>
      <c r="I37" s="140"/>
      <c r="J37" s="140"/>
      <c r="K37" s="140"/>
      <c r="L37" s="140"/>
      <c r="M37" s="140"/>
      <c r="N37" s="140"/>
      <c r="O37" s="140"/>
      <c r="P37" s="140"/>
      <c r="Q37" s="140"/>
      <c r="R37" s="140"/>
      <c r="S37" s="140"/>
      <c r="T37" s="141"/>
      <c r="U37" s="141" t="s">
        <v>610</v>
      </c>
      <c r="V37" s="174"/>
      <c r="W37" s="174"/>
      <c r="X37" s="174"/>
      <c r="Y37" s="174"/>
      <c r="Z37" s="174"/>
      <c r="AA37" s="174"/>
      <c r="AB37" s="174"/>
      <c r="AC37" s="174"/>
      <c r="AD37" s="174"/>
      <c r="AE37" s="174"/>
      <c r="AF37" s="174"/>
      <c r="AG37" s="174"/>
      <c r="AH37" s="174"/>
      <c r="AI37" s="174"/>
      <c r="AJ37" s="174"/>
      <c r="AK37" s="174"/>
      <c r="AL37" s="174"/>
      <c r="AM37" s="174"/>
      <c r="AN37" s="174"/>
      <c r="AO37" s="174"/>
      <c r="AP37" s="174"/>
      <c r="AQ37" s="174"/>
      <c r="AR37" s="174"/>
      <c r="AS37" s="174"/>
      <c r="AT37" s="174"/>
      <c r="AU37" s="174"/>
      <c r="AV37" s="174"/>
      <c r="AW37" s="174"/>
      <c r="AX37" s="174"/>
      <c r="AY37" s="174"/>
      <c r="AZ37" s="174"/>
      <c r="BA37" s="174"/>
      <c r="BB37" s="174"/>
      <c r="BC37" s="174"/>
      <c r="BD37" s="174"/>
      <c r="BE37" s="174"/>
      <c r="BF37" s="174"/>
      <c r="BG37" s="174"/>
      <c r="BH37" s="174"/>
    </row>
    <row r="38" spans="2:60">
      <c r="E38" s="133"/>
      <c r="F38" s="134"/>
      <c r="G38" s="134"/>
      <c r="H38" s="134"/>
      <c r="I38" s="134"/>
      <c r="J38" s="134"/>
      <c r="K38" s="134"/>
      <c r="L38" s="134"/>
      <c r="M38" s="134"/>
      <c r="N38" s="134"/>
      <c r="O38" s="134"/>
      <c r="P38" s="134"/>
      <c r="Q38" s="134"/>
      <c r="R38" s="134"/>
      <c r="S38" s="134"/>
      <c r="T38" s="135"/>
      <c r="U38" s="138"/>
      <c r="V38" s="156"/>
      <c r="W38" s="156"/>
      <c r="X38" s="156"/>
      <c r="Y38" s="156"/>
      <c r="Z38" s="156"/>
      <c r="AA38" s="156"/>
      <c r="AB38" s="156"/>
      <c r="AC38" s="156"/>
      <c r="AD38" s="156"/>
      <c r="AE38" s="156"/>
      <c r="AF38" s="156"/>
      <c r="AG38" s="156"/>
      <c r="AH38" s="156"/>
      <c r="AI38" s="156"/>
      <c r="AJ38" s="156"/>
      <c r="AK38" s="156"/>
      <c r="AL38" s="156"/>
      <c r="AM38" s="156"/>
      <c r="AN38" s="156"/>
      <c r="AO38" s="156"/>
      <c r="AP38" s="156"/>
      <c r="AQ38" s="156"/>
      <c r="AR38" s="156"/>
      <c r="AS38" s="156"/>
      <c r="AT38" s="156"/>
      <c r="AU38" s="156"/>
      <c r="AV38" s="156"/>
      <c r="AW38" s="156"/>
      <c r="AX38" s="156"/>
      <c r="AY38" s="156"/>
      <c r="AZ38" s="156"/>
      <c r="BA38" s="156"/>
      <c r="BB38" s="156"/>
      <c r="BC38" s="156"/>
      <c r="BD38" s="156"/>
      <c r="BE38" s="156"/>
      <c r="BF38" s="156"/>
      <c r="BG38" s="156"/>
      <c r="BH38" s="156"/>
    </row>
    <row r="39" spans="2:60">
      <c r="E39" s="139" t="s">
        <v>537</v>
      </c>
      <c r="F39" s="140"/>
      <c r="G39" s="140"/>
      <c r="H39" s="140"/>
      <c r="I39" s="140"/>
      <c r="J39" s="141"/>
      <c r="K39" s="151" t="s">
        <v>30</v>
      </c>
      <c r="L39" s="151"/>
      <c r="M39" s="151"/>
      <c r="N39" s="151"/>
      <c r="O39" s="151"/>
      <c r="P39" s="310"/>
      <c r="Q39" s="139" t="s">
        <v>546</v>
      </c>
      <c r="R39" s="140"/>
      <c r="S39" s="140"/>
      <c r="T39" s="141"/>
      <c r="U39" s="294" t="s">
        <v>177</v>
      </c>
      <c r="V39" s="329"/>
      <c r="W39" s="329"/>
      <c r="X39" s="329" t="s">
        <v>177</v>
      </c>
      <c r="Y39" s="329"/>
      <c r="Z39" s="329"/>
      <c r="AA39" s="329" t="s">
        <v>177</v>
      </c>
      <c r="AB39" s="329"/>
      <c r="AC39" s="329"/>
      <c r="AD39" s="329" t="s">
        <v>177</v>
      </c>
      <c r="AE39" s="329"/>
      <c r="AF39" s="329"/>
      <c r="AG39" s="329" t="s">
        <v>177</v>
      </c>
      <c r="AH39" s="329"/>
      <c r="AI39" s="329"/>
      <c r="AJ39" s="329" t="s">
        <v>177</v>
      </c>
      <c r="AK39" s="329"/>
      <c r="AL39" s="329"/>
      <c r="AM39" s="329" t="s">
        <v>177</v>
      </c>
      <c r="AN39" s="329"/>
      <c r="AO39" s="329"/>
      <c r="AP39" s="329" t="s">
        <v>177</v>
      </c>
      <c r="AQ39" s="329"/>
      <c r="AR39" s="329"/>
      <c r="AS39" s="329" t="s">
        <v>177</v>
      </c>
      <c r="AT39" s="329"/>
      <c r="AU39" s="329"/>
      <c r="AV39" s="329" t="s">
        <v>177</v>
      </c>
      <c r="AW39" s="329"/>
      <c r="AX39" s="329"/>
      <c r="AY39" s="329" t="s">
        <v>177</v>
      </c>
      <c r="AZ39" s="329"/>
      <c r="BA39" s="329"/>
      <c r="BB39" s="329" t="s">
        <v>177</v>
      </c>
      <c r="BC39" s="329"/>
      <c r="BD39" s="329"/>
      <c r="BE39" s="320" t="s">
        <v>611</v>
      </c>
      <c r="BF39" s="320"/>
      <c r="BG39" s="320"/>
      <c r="BH39" s="320"/>
    </row>
    <row r="40" spans="2:60">
      <c r="E40" s="133" t="s">
        <v>541</v>
      </c>
      <c r="F40" s="134"/>
      <c r="G40" s="134"/>
      <c r="H40" s="134"/>
      <c r="I40" s="134"/>
      <c r="J40" s="135"/>
      <c r="K40" s="174"/>
      <c r="L40" s="174"/>
      <c r="M40" s="174"/>
      <c r="N40" s="174"/>
      <c r="O40" s="174"/>
      <c r="P40" s="139"/>
      <c r="Q40" s="133"/>
      <c r="R40" s="134"/>
      <c r="S40" s="134"/>
      <c r="T40" s="135"/>
      <c r="U40" s="294" t="s">
        <v>612</v>
      </c>
      <c r="V40" s="329"/>
      <c r="W40" s="329"/>
      <c r="X40" s="329" t="s">
        <v>613</v>
      </c>
      <c r="Y40" s="329"/>
      <c r="Z40" s="329"/>
      <c r="AA40" s="329" t="s">
        <v>614</v>
      </c>
      <c r="AB40" s="329"/>
      <c r="AC40" s="329"/>
      <c r="AD40" s="329" t="s">
        <v>615</v>
      </c>
      <c r="AE40" s="329"/>
      <c r="AF40" s="329"/>
      <c r="AG40" s="329" t="s">
        <v>616</v>
      </c>
      <c r="AH40" s="329"/>
      <c r="AI40" s="329"/>
      <c r="AJ40" s="329" t="s">
        <v>617</v>
      </c>
      <c r="AK40" s="329"/>
      <c r="AL40" s="329"/>
      <c r="AM40" s="329" t="s">
        <v>618</v>
      </c>
      <c r="AN40" s="329"/>
      <c r="AO40" s="329"/>
      <c r="AP40" s="329" t="s">
        <v>619</v>
      </c>
      <c r="AQ40" s="329"/>
      <c r="AR40" s="329"/>
      <c r="AS40" s="329" t="s">
        <v>620</v>
      </c>
      <c r="AT40" s="329"/>
      <c r="AU40" s="329"/>
      <c r="AV40" s="329" t="s">
        <v>621</v>
      </c>
      <c r="AW40" s="329"/>
      <c r="AX40" s="329"/>
      <c r="AY40" s="329" t="s">
        <v>622</v>
      </c>
      <c r="AZ40" s="329"/>
      <c r="BA40" s="329"/>
      <c r="BB40" s="329" t="s">
        <v>623</v>
      </c>
      <c r="BC40" s="329"/>
      <c r="BD40" s="329"/>
      <c r="BE40" s="320"/>
      <c r="BF40" s="320"/>
      <c r="BG40" s="320"/>
      <c r="BH40" s="320"/>
    </row>
    <row r="41" spans="2:60">
      <c r="E41" s="162" t="s">
        <v>201</v>
      </c>
      <c r="F41" s="161"/>
      <c r="G41" s="161"/>
      <c r="H41" s="161"/>
      <c r="I41" s="161"/>
      <c r="J41" s="161"/>
      <c r="K41" s="162" t="s">
        <v>202</v>
      </c>
      <c r="L41" s="161"/>
      <c r="M41" s="161"/>
      <c r="N41" s="161"/>
      <c r="O41" s="161"/>
      <c r="P41" s="161"/>
      <c r="Q41" s="162" t="s">
        <v>203</v>
      </c>
      <c r="R41" s="161"/>
      <c r="S41" s="161"/>
      <c r="T41" s="161"/>
      <c r="U41" s="160" t="s">
        <v>204</v>
      </c>
      <c r="V41" s="161"/>
      <c r="W41" s="161"/>
      <c r="X41" s="162" t="s">
        <v>205</v>
      </c>
      <c r="Y41" s="161"/>
      <c r="Z41" s="161"/>
      <c r="AA41" s="162" t="s">
        <v>354</v>
      </c>
      <c r="AB41" s="161"/>
      <c r="AC41" s="161"/>
      <c r="AD41" s="162" t="s">
        <v>207</v>
      </c>
      <c r="AE41" s="161"/>
      <c r="AF41" s="161"/>
      <c r="AG41" s="162" t="s">
        <v>208</v>
      </c>
      <c r="AH41" s="161"/>
      <c r="AI41" s="161"/>
      <c r="AJ41" s="162" t="s">
        <v>209</v>
      </c>
      <c r="AK41" s="161"/>
      <c r="AL41" s="161"/>
      <c r="AM41" s="162" t="s">
        <v>210</v>
      </c>
      <c r="AN41" s="161"/>
      <c r="AO41" s="161"/>
      <c r="AP41" s="162" t="s">
        <v>361</v>
      </c>
      <c r="AQ41" s="161"/>
      <c r="AR41" s="161"/>
      <c r="AS41" s="162" t="s">
        <v>362</v>
      </c>
      <c r="AT41" s="161"/>
      <c r="AU41" s="161"/>
      <c r="AV41" s="162" t="s">
        <v>429</v>
      </c>
      <c r="AW41" s="161"/>
      <c r="AX41" s="161"/>
      <c r="AY41" s="162" t="s">
        <v>430</v>
      </c>
      <c r="AZ41" s="161"/>
      <c r="BA41" s="161"/>
      <c r="BB41" s="162" t="s">
        <v>624</v>
      </c>
      <c r="BC41" s="161"/>
      <c r="BD41" s="161"/>
      <c r="BE41" s="162" t="s">
        <v>625</v>
      </c>
      <c r="BF41" s="161"/>
      <c r="BG41" s="161"/>
      <c r="BH41" s="161"/>
    </row>
    <row r="42" spans="2:60">
      <c r="E42" s="154"/>
      <c r="F42" s="154"/>
      <c r="G42" s="154"/>
      <c r="H42" s="154"/>
      <c r="I42" s="154"/>
      <c r="J42" s="154"/>
      <c r="K42" s="154"/>
      <c r="L42" s="154"/>
      <c r="M42" s="154"/>
      <c r="N42" s="154"/>
      <c r="O42" s="154"/>
      <c r="P42" s="154"/>
      <c r="Q42" s="154"/>
      <c r="R42" s="154"/>
      <c r="S42" s="154"/>
      <c r="T42" s="154"/>
      <c r="U42" s="325"/>
      <c r="V42" s="155"/>
      <c r="W42" s="155"/>
      <c r="X42" s="155"/>
      <c r="Y42" s="155"/>
      <c r="Z42" s="155"/>
      <c r="AA42" s="155"/>
      <c r="AB42" s="155"/>
      <c r="AC42" s="155"/>
      <c r="AD42" s="155"/>
      <c r="AE42" s="155"/>
      <c r="AF42" s="155"/>
      <c r="AG42" s="155"/>
      <c r="AH42" s="155"/>
      <c r="AI42" s="155"/>
      <c r="AJ42" s="155"/>
      <c r="AK42" s="155"/>
      <c r="AL42" s="155"/>
      <c r="AM42" s="155"/>
      <c r="AN42" s="155"/>
      <c r="AO42" s="155"/>
      <c r="AP42" s="155"/>
      <c r="AQ42" s="155"/>
      <c r="AR42" s="155"/>
      <c r="AS42" s="155"/>
      <c r="AT42" s="155"/>
      <c r="AU42" s="155"/>
      <c r="AV42" s="155"/>
      <c r="AW42" s="155"/>
      <c r="AX42" s="155"/>
      <c r="AY42" s="155"/>
      <c r="AZ42" s="155"/>
      <c r="BA42" s="155"/>
      <c r="BB42" s="155"/>
      <c r="BC42" s="155"/>
      <c r="BD42" s="155"/>
      <c r="BE42" s="155"/>
      <c r="BF42" s="155"/>
      <c r="BG42" s="155"/>
      <c r="BH42" s="155"/>
    </row>
    <row r="43" spans="2:60">
      <c r="E43" s="154"/>
      <c r="F43" s="154"/>
      <c r="G43" s="154"/>
      <c r="H43" s="154"/>
      <c r="I43" s="154"/>
      <c r="J43" s="154"/>
      <c r="K43" s="154"/>
      <c r="L43" s="154"/>
      <c r="M43" s="154"/>
      <c r="N43" s="154"/>
      <c r="O43" s="154"/>
      <c r="P43" s="154"/>
      <c r="Q43" s="154"/>
      <c r="R43" s="154"/>
      <c r="S43" s="154"/>
      <c r="T43" s="154"/>
      <c r="U43" s="325"/>
      <c r="V43" s="155"/>
      <c r="W43" s="155"/>
      <c r="X43" s="155"/>
      <c r="Y43" s="155"/>
      <c r="Z43" s="155"/>
      <c r="AA43" s="155"/>
      <c r="AB43" s="155"/>
      <c r="AC43" s="155"/>
      <c r="AD43" s="155"/>
      <c r="AE43" s="155"/>
      <c r="AF43" s="155"/>
      <c r="AG43" s="155"/>
      <c r="AH43" s="155"/>
      <c r="AI43" s="155"/>
      <c r="AJ43" s="155"/>
      <c r="AK43" s="155"/>
      <c r="AL43" s="155"/>
      <c r="AM43" s="155"/>
      <c r="AN43" s="155"/>
      <c r="AO43" s="155"/>
      <c r="AP43" s="155"/>
      <c r="AQ43" s="155"/>
      <c r="AR43" s="155"/>
      <c r="AS43" s="155"/>
      <c r="AT43" s="155"/>
      <c r="AU43" s="155"/>
      <c r="AV43" s="155"/>
      <c r="AW43" s="155"/>
      <c r="AX43" s="155"/>
      <c r="AY43" s="155"/>
      <c r="AZ43" s="155"/>
      <c r="BA43" s="155"/>
      <c r="BB43" s="155"/>
      <c r="BC43" s="155"/>
      <c r="BD43" s="155"/>
      <c r="BE43" s="155"/>
      <c r="BF43" s="155"/>
      <c r="BG43" s="155"/>
      <c r="BH43" s="155"/>
    </row>
    <row r="44" spans="2:60">
      <c r="E44" s="154"/>
      <c r="F44" s="154"/>
      <c r="G44" s="154"/>
      <c r="H44" s="154"/>
      <c r="I44" s="154"/>
      <c r="J44" s="154"/>
      <c r="K44" s="154"/>
      <c r="L44" s="154"/>
      <c r="M44" s="154"/>
      <c r="N44" s="154"/>
      <c r="O44" s="154"/>
      <c r="P44" s="154"/>
      <c r="Q44" s="154"/>
      <c r="R44" s="154"/>
      <c r="S44" s="154"/>
      <c r="T44" s="154"/>
      <c r="U44" s="325"/>
      <c r="V44" s="155"/>
      <c r="W44" s="155"/>
      <c r="X44" s="155"/>
      <c r="Y44" s="155"/>
      <c r="Z44" s="155"/>
      <c r="AA44" s="155"/>
      <c r="AB44" s="155"/>
      <c r="AC44" s="155"/>
      <c r="AD44" s="155"/>
      <c r="AE44" s="155"/>
      <c r="AF44" s="155"/>
      <c r="AG44" s="155"/>
      <c r="AH44" s="155"/>
      <c r="AI44" s="155"/>
      <c r="AJ44" s="155"/>
      <c r="AK44" s="155"/>
      <c r="AL44" s="155"/>
      <c r="AM44" s="155"/>
      <c r="AN44" s="155"/>
      <c r="AO44" s="155"/>
      <c r="AP44" s="155"/>
      <c r="AQ44" s="155"/>
      <c r="AR44" s="155"/>
      <c r="AS44" s="155"/>
      <c r="AT44" s="155"/>
      <c r="AU44" s="155"/>
      <c r="AV44" s="155"/>
      <c r="AW44" s="155"/>
      <c r="AX44" s="155"/>
      <c r="AY44" s="155"/>
      <c r="AZ44" s="155"/>
      <c r="BA44" s="155"/>
      <c r="BB44" s="155"/>
      <c r="BC44" s="155"/>
      <c r="BD44" s="155"/>
      <c r="BE44" s="155"/>
      <c r="BF44" s="155"/>
      <c r="BG44" s="155"/>
      <c r="BH44" s="155"/>
    </row>
    <row r="45" spans="2:60">
      <c r="E45" s="154"/>
      <c r="F45" s="154"/>
      <c r="G45" s="154"/>
      <c r="H45" s="154"/>
      <c r="I45" s="154"/>
      <c r="J45" s="154"/>
      <c r="K45" s="154"/>
      <c r="L45" s="154"/>
      <c r="M45" s="154"/>
      <c r="N45" s="154"/>
      <c r="O45" s="154"/>
      <c r="P45" s="154"/>
      <c r="Q45" s="154"/>
      <c r="R45" s="154"/>
      <c r="S45" s="154"/>
      <c r="T45" s="154"/>
      <c r="U45" s="325"/>
      <c r="V45" s="155"/>
      <c r="W45" s="155"/>
      <c r="X45" s="155"/>
      <c r="Y45" s="155"/>
      <c r="Z45" s="155"/>
      <c r="AA45" s="155"/>
      <c r="AB45" s="155"/>
      <c r="AC45" s="155"/>
      <c r="AD45" s="155"/>
      <c r="AE45" s="155"/>
      <c r="AF45" s="155"/>
      <c r="AG45" s="155"/>
      <c r="AH45" s="155"/>
      <c r="AI45" s="155"/>
      <c r="AJ45" s="155"/>
      <c r="AK45" s="155"/>
      <c r="AL45" s="155"/>
      <c r="AM45" s="155"/>
      <c r="AN45" s="155"/>
      <c r="AO45" s="155"/>
      <c r="AP45" s="155"/>
      <c r="AQ45" s="155"/>
      <c r="AR45" s="155"/>
      <c r="AS45" s="155"/>
      <c r="AT45" s="155"/>
      <c r="AU45" s="155"/>
      <c r="AV45" s="155"/>
      <c r="AW45" s="155"/>
      <c r="AX45" s="155"/>
      <c r="AY45" s="155"/>
      <c r="AZ45" s="155"/>
      <c r="BA45" s="155"/>
      <c r="BB45" s="155"/>
      <c r="BC45" s="155"/>
      <c r="BD45" s="155"/>
      <c r="BE45" s="155"/>
      <c r="BF45" s="155"/>
      <c r="BG45" s="155"/>
      <c r="BH45" s="155"/>
    </row>
    <row r="46" spans="2:60">
      <c r="E46" s="154"/>
      <c r="F46" s="154"/>
      <c r="G46" s="154"/>
      <c r="H46" s="154"/>
      <c r="I46" s="154"/>
      <c r="J46" s="154"/>
      <c r="K46" s="154"/>
      <c r="L46" s="154"/>
      <c r="M46" s="154"/>
      <c r="N46" s="154"/>
      <c r="O46" s="154"/>
      <c r="P46" s="154"/>
      <c r="Q46" s="154"/>
      <c r="R46" s="154"/>
      <c r="S46" s="154"/>
      <c r="T46" s="154"/>
      <c r="U46" s="325"/>
      <c r="V46" s="155"/>
      <c r="W46" s="155"/>
      <c r="X46" s="155"/>
      <c r="Y46" s="155"/>
      <c r="Z46" s="155"/>
      <c r="AA46" s="155"/>
      <c r="AB46" s="155"/>
      <c r="AC46" s="155"/>
      <c r="AD46" s="155"/>
      <c r="AE46" s="155"/>
      <c r="AF46" s="155"/>
      <c r="AG46" s="155"/>
      <c r="AH46" s="155"/>
      <c r="AI46" s="155"/>
      <c r="AJ46" s="155"/>
      <c r="AK46" s="155"/>
      <c r="AL46" s="155"/>
      <c r="AM46" s="155"/>
      <c r="AN46" s="155"/>
      <c r="AO46" s="155"/>
      <c r="AP46" s="155"/>
      <c r="AQ46" s="155"/>
      <c r="AR46" s="155"/>
      <c r="AS46" s="155"/>
      <c r="AT46" s="155"/>
      <c r="AU46" s="155"/>
      <c r="AV46" s="155"/>
      <c r="AW46" s="155"/>
      <c r="AX46" s="155"/>
      <c r="AY46" s="155"/>
      <c r="AZ46" s="155"/>
      <c r="BA46" s="155"/>
      <c r="BB46" s="155"/>
      <c r="BC46" s="155"/>
      <c r="BD46" s="155"/>
      <c r="BE46" s="155"/>
      <c r="BF46" s="155"/>
      <c r="BG46" s="155"/>
      <c r="BH46" s="155"/>
    </row>
    <row r="47" spans="2:60">
      <c r="E47" s="328" t="s">
        <v>355</v>
      </c>
      <c r="F47" s="183"/>
      <c r="G47" s="183"/>
      <c r="H47" s="183"/>
      <c r="I47" s="183"/>
      <c r="J47" s="183"/>
      <c r="K47" s="183"/>
      <c r="L47" s="183"/>
      <c r="M47" s="183"/>
      <c r="N47" s="183"/>
      <c r="O47" s="183"/>
      <c r="P47" s="183"/>
      <c r="Q47" s="183"/>
      <c r="R47" s="183"/>
      <c r="S47" s="183"/>
      <c r="T47" s="184"/>
      <c r="U47" s="325">
        <f>SUM(U42:U46)</f>
        <v>0</v>
      </c>
      <c r="V47" s="155"/>
      <c r="W47" s="155"/>
      <c r="X47" s="325">
        <f>SUM(X42:X46)</f>
        <v>0</v>
      </c>
      <c r="Y47" s="155"/>
      <c r="Z47" s="155"/>
      <c r="AA47" s="325">
        <f>SUM(AA42:AA46)</f>
        <v>0</v>
      </c>
      <c r="AB47" s="155"/>
      <c r="AC47" s="155"/>
      <c r="AD47" s="325">
        <f>SUM(AD42:AD46)</f>
        <v>0</v>
      </c>
      <c r="AE47" s="155"/>
      <c r="AF47" s="155"/>
      <c r="AG47" s="325">
        <f>SUM(AG42:AG46)</f>
        <v>0</v>
      </c>
      <c r="AH47" s="155"/>
      <c r="AI47" s="155"/>
      <c r="AJ47" s="325">
        <f>SUM(AJ42:AJ46)</f>
        <v>0</v>
      </c>
      <c r="AK47" s="155"/>
      <c r="AL47" s="155"/>
      <c r="AM47" s="325">
        <f>SUM(AM42:AM46)</f>
        <v>0</v>
      </c>
      <c r="AN47" s="155"/>
      <c r="AO47" s="155"/>
      <c r="AP47" s="325">
        <f>SUM(AP42:AP46)</f>
        <v>0</v>
      </c>
      <c r="AQ47" s="155"/>
      <c r="AR47" s="155"/>
      <c r="AS47" s="325">
        <f>SUM(AS42:AS46)</f>
        <v>0</v>
      </c>
      <c r="AT47" s="155"/>
      <c r="AU47" s="155"/>
      <c r="AV47" s="325">
        <f>SUM(AV42:AV46)</f>
        <v>0</v>
      </c>
      <c r="AW47" s="155"/>
      <c r="AX47" s="155"/>
      <c r="AY47" s="325">
        <f>SUM(AY42:AY46)</f>
        <v>0</v>
      </c>
      <c r="AZ47" s="155"/>
      <c r="BA47" s="155"/>
      <c r="BB47" s="325">
        <f>SUM(BB42:BB46)</f>
        <v>0</v>
      </c>
      <c r="BC47" s="155"/>
      <c r="BD47" s="155"/>
      <c r="BE47" s="155">
        <f>SUM(BE42:BE46)</f>
        <v>0</v>
      </c>
      <c r="BF47" s="155"/>
      <c r="BG47" s="155"/>
      <c r="BH47" s="155"/>
    </row>
    <row r="49" spans="5:60">
      <c r="E49" s="7" t="s">
        <v>35</v>
      </c>
      <c r="F49" s="8" t="s">
        <v>626</v>
      </c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</row>
    <row r="50" spans="5:60" ht="4" customHeight="1"/>
    <row r="51" spans="5:60">
      <c r="E51" s="151" t="s">
        <v>627</v>
      </c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151"/>
      <c r="S51" s="151"/>
      <c r="T51" s="151"/>
      <c r="U51" s="141" t="s">
        <v>628</v>
      </c>
      <c r="V51" s="174"/>
      <c r="W51" s="174"/>
      <c r="X51" s="174"/>
      <c r="Y51" s="174"/>
      <c r="Z51" s="174"/>
      <c r="AA51" s="174"/>
      <c r="AB51" s="174"/>
      <c r="AC51" s="174"/>
      <c r="AD51" s="174"/>
      <c r="AE51" s="174"/>
      <c r="AF51" s="174"/>
      <c r="AG51" s="174"/>
      <c r="AH51" s="174"/>
      <c r="AI51" s="174"/>
      <c r="AJ51" s="174"/>
      <c r="AK51" s="174"/>
      <c r="AL51" s="174"/>
      <c r="AM51" s="174"/>
      <c r="AN51" s="174"/>
      <c r="AO51" s="174"/>
      <c r="AP51" s="174"/>
      <c r="AQ51" s="174"/>
      <c r="AR51" s="174"/>
      <c r="AS51" s="174"/>
      <c r="AT51" s="174"/>
      <c r="AU51" s="174"/>
      <c r="AV51" s="174"/>
      <c r="AW51" s="174"/>
      <c r="AX51" s="174"/>
      <c r="AY51" s="174"/>
      <c r="AZ51" s="174"/>
      <c r="BA51" s="174"/>
      <c r="BB51" s="174"/>
      <c r="BC51" s="174"/>
      <c r="BD51" s="174"/>
      <c r="BE51" s="174"/>
      <c r="BF51" s="174"/>
      <c r="BG51" s="174"/>
      <c r="BH51" s="174"/>
    </row>
    <row r="52" spans="5:60">
      <c r="E52" s="151"/>
      <c r="F52" s="151"/>
      <c r="G52" s="151"/>
      <c r="H52" s="151"/>
      <c r="I52" s="151"/>
      <c r="J52" s="151"/>
      <c r="K52" s="151"/>
      <c r="L52" s="151"/>
      <c r="M52" s="151"/>
      <c r="N52" s="151"/>
      <c r="O52" s="151"/>
      <c r="P52" s="151"/>
      <c r="Q52" s="151"/>
      <c r="R52" s="151"/>
      <c r="S52" s="151"/>
      <c r="T52" s="151"/>
      <c r="U52" s="138"/>
      <c r="V52" s="156"/>
      <c r="W52" s="156"/>
      <c r="X52" s="156"/>
      <c r="Y52" s="156"/>
      <c r="Z52" s="156"/>
      <c r="AA52" s="156"/>
      <c r="AB52" s="156"/>
      <c r="AC52" s="156"/>
      <c r="AD52" s="156"/>
      <c r="AE52" s="156"/>
      <c r="AF52" s="156"/>
      <c r="AG52" s="156"/>
      <c r="AH52" s="156"/>
      <c r="AI52" s="156"/>
      <c r="AJ52" s="156"/>
      <c r="AK52" s="156"/>
      <c r="AL52" s="156"/>
      <c r="AM52" s="156"/>
      <c r="AN52" s="156"/>
      <c r="AO52" s="156"/>
      <c r="AP52" s="156"/>
      <c r="AQ52" s="156"/>
      <c r="AR52" s="156"/>
      <c r="AS52" s="156"/>
      <c r="AT52" s="156"/>
      <c r="AU52" s="156"/>
      <c r="AV52" s="156"/>
      <c r="AW52" s="156"/>
      <c r="AX52" s="156"/>
      <c r="AY52" s="156"/>
      <c r="AZ52" s="156"/>
      <c r="BA52" s="156"/>
      <c r="BB52" s="156"/>
      <c r="BC52" s="156"/>
      <c r="BD52" s="156"/>
      <c r="BE52" s="156"/>
      <c r="BF52" s="156"/>
      <c r="BG52" s="156"/>
      <c r="BH52" s="156"/>
    </row>
    <row r="53" spans="5:60">
      <c r="E53" s="151"/>
      <c r="F53" s="151"/>
      <c r="G53" s="151"/>
      <c r="H53" s="151"/>
      <c r="I53" s="151"/>
      <c r="J53" s="151"/>
      <c r="K53" s="151"/>
      <c r="L53" s="151"/>
      <c r="M53" s="151"/>
      <c r="N53" s="151"/>
      <c r="O53" s="151"/>
      <c r="P53" s="151"/>
      <c r="Q53" s="151"/>
      <c r="R53" s="151"/>
      <c r="S53" s="151"/>
      <c r="T53" s="151"/>
      <c r="U53" s="294" t="s">
        <v>177</v>
      </c>
      <c r="V53" s="329"/>
      <c r="W53" s="329"/>
      <c r="X53" s="329" t="s">
        <v>177</v>
      </c>
      <c r="Y53" s="329"/>
      <c r="Z53" s="329"/>
      <c r="AA53" s="329" t="s">
        <v>177</v>
      </c>
      <c r="AB53" s="329"/>
      <c r="AC53" s="329"/>
      <c r="AD53" s="329" t="s">
        <v>177</v>
      </c>
      <c r="AE53" s="329"/>
      <c r="AF53" s="329"/>
      <c r="AG53" s="329" t="s">
        <v>177</v>
      </c>
      <c r="AH53" s="329"/>
      <c r="AI53" s="329"/>
      <c r="AJ53" s="329" t="s">
        <v>177</v>
      </c>
      <c r="AK53" s="329"/>
      <c r="AL53" s="329"/>
      <c r="AM53" s="329" t="s">
        <v>177</v>
      </c>
      <c r="AN53" s="329"/>
      <c r="AO53" s="329"/>
      <c r="AP53" s="329" t="s">
        <v>177</v>
      </c>
      <c r="AQ53" s="329"/>
      <c r="AR53" s="329"/>
      <c r="AS53" s="329" t="s">
        <v>177</v>
      </c>
      <c r="AT53" s="329"/>
      <c r="AU53" s="329"/>
      <c r="AV53" s="329" t="s">
        <v>177</v>
      </c>
      <c r="AW53" s="329"/>
      <c r="AX53" s="329"/>
      <c r="AY53" s="329" t="s">
        <v>177</v>
      </c>
      <c r="AZ53" s="329"/>
      <c r="BA53" s="329"/>
      <c r="BB53" s="329" t="s">
        <v>177</v>
      </c>
      <c r="BC53" s="329"/>
      <c r="BD53" s="329"/>
      <c r="BE53" s="320" t="s">
        <v>611</v>
      </c>
      <c r="BF53" s="320"/>
      <c r="BG53" s="320"/>
      <c r="BH53" s="320"/>
    </row>
    <row r="54" spans="5:60">
      <c r="E54" s="151"/>
      <c r="F54" s="151"/>
      <c r="G54" s="151"/>
      <c r="H54" s="151"/>
      <c r="I54" s="151"/>
      <c r="J54" s="151"/>
      <c r="K54" s="151"/>
      <c r="L54" s="151"/>
      <c r="M54" s="151"/>
      <c r="N54" s="151"/>
      <c r="O54" s="151"/>
      <c r="P54" s="151"/>
      <c r="Q54" s="151"/>
      <c r="R54" s="151"/>
      <c r="S54" s="151"/>
      <c r="T54" s="151"/>
      <c r="U54" s="294" t="s">
        <v>612</v>
      </c>
      <c r="V54" s="329"/>
      <c r="W54" s="329"/>
      <c r="X54" s="329" t="s">
        <v>613</v>
      </c>
      <c r="Y54" s="329"/>
      <c r="Z54" s="329"/>
      <c r="AA54" s="329" t="s">
        <v>614</v>
      </c>
      <c r="AB54" s="329"/>
      <c r="AC54" s="329"/>
      <c r="AD54" s="329" t="s">
        <v>615</v>
      </c>
      <c r="AE54" s="329"/>
      <c r="AF54" s="329"/>
      <c r="AG54" s="329" t="s">
        <v>616</v>
      </c>
      <c r="AH54" s="329"/>
      <c r="AI54" s="329"/>
      <c r="AJ54" s="329" t="s">
        <v>617</v>
      </c>
      <c r="AK54" s="329"/>
      <c r="AL54" s="329"/>
      <c r="AM54" s="329" t="s">
        <v>618</v>
      </c>
      <c r="AN54" s="329"/>
      <c r="AO54" s="329"/>
      <c r="AP54" s="329" t="s">
        <v>619</v>
      </c>
      <c r="AQ54" s="329"/>
      <c r="AR54" s="329"/>
      <c r="AS54" s="329" t="s">
        <v>620</v>
      </c>
      <c r="AT54" s="329"/>
      <c r="AU54" s="329"/>
      <c r="AV54" s="329" t="s">
        <v>621</v>
      </c>
      <c r="AW54" s="329"/>
      <c r="AX54" s="329"/>
      <c r="AY54" s="329" t="s">
        <v>622</v>
      </c>
      <c r="AZ54" s="329"/>
      <c r="BA54" s="329"/>
      <c r="BB54" s="329" t="s">
        <v>623</v>
      </c>
      <c r="BC54" s="329"/>
      <c r="BD54" s="329"/>
      <c r="BE54" s="320"/>
      <c r="BF54" s="320"/>
      <c r="BG54" s="320"/>
      <c r="BH54" s="320"/>
    </row>
    <row r="55" spans="5:60">
      <c r="E55" s="330" t="s">
        <v>201</v>
      </c>
      <c r="F55" s="331"/>
      <c r="G55" s="331"/>
      <c r="H55" s="331"/>
      <c r="I55" s="331"/>
      <c r="J55" s="331"/>
      <c r="K55" s="331"/>
      <c r="L55" s="331"/>
      <c r="M55" s="331"/>
      <c r="N55" s="331"/>
      <c r="O55" s="331"/>
      <c r="P55" s="331"/>
      <c r="Q55" s="331"/>
      <c r="R55" s="331"/>
      <c r="S55" s="331"/>
      <c r="T55" s="331"/>
      <c r="U55" s="160" t="s">
        <v>202</v>
      </c>
      <c r="V55" s="161"/>
      <c r="W55" s="161"/>
      <c r="X55" s="160" t="s">
        <v>203</v>
      </c>
      <c r="Y55" s="161"/>
      <c r="Z55" s="161"/>
      <c r="AA55" s="160" t="s">
        <v>204</v>
      </c>
      <c r="AB55" s="161"/>
      <c r="AC55" s="161"/>
      <c r="AD55" s="160" t="s">
        <v>205</v>
      </c>
      <c r="AE55" s="161"/>
      <c r="AF55" s="161"/>
      <c r="AG55" s="160" t="s">
        <v>354</v>
      </c>
      <c r="AH55" s="161"/>
      <c r="AI55" s="161"/>
      <c r="AJ55" s="160" t="s">
        <v>207</v>
      </c>
      <c r="AK55" s="161"/>
      <c r="AL55" s="161"/>
      <c r="AM55" s="160" t="s">
        <v>208</v>
      </c>
      <c r="AN55" s="161"/>
      <c r="AO55" s="161"/>
      <c r="AP55" s="160" t="s">
        <v>209</v>
      </c>
      <c r="AQ55" s="161"/>
      <c r="AR55" s="161"/>
      <c r="AS55" s="160" t="s">
        <v>210</v>
      </c>
      <c r="AT55" s="161"/>
      <c r="AU55" s="161"/>
      <c r="AV55" s="160" t="s">
        <v>361</v>
      </c>
      <c r="AW55" s="161"/>
      <c r="AX55" s="161"/>
      <c r="AY55" s="160" t="s">
        <v>362</v>
      </c>
      <c r="AZ55" s="161"/>
      <c r="BA55" s="161"/>
      <c r="BB55" s="160" t="s">
        <v>429</v>
      </c>
      <c r="BC55" s="161"/>
      <c r="BD55" s="161"/>
      <c r="BE55" s="162" t="s">
        <v>430</v>
      </c>
      <c r="BF55" s="161"/>
      <c r="BG55" s="161"/>
      <c r="BH55" s="161"/>
    </row>
    <row r="56" spans="5:60">
      <c r="E56" s="245" t="s">
        <v>310</v>
      </c>
      <c r="F56" s="245"/>
      <c r="G56" s="245"/>
      <c r="H56" s="245"/>
      <c r="I56" s="245"/>
      <c r="J56" s="245"/>
      <c r="K56" s="245"/>
      <c r="L56" s="245"/>
      <c r="M56" s="245"/>
      <c r="N56" s="245"/>
      <c r="O56" s="245"/>
      <c r="P56" s="245"/>
      <c r="Q56" s="245"/>
      <c r="R56" s="245"/>
      <c r="S56" s="245"/>
      <c r="T56" s="245"/>
      <c r="U56" s="325"/>
      <c r="V56" s="155"/>
      <c r="W56" s="155"/>
      <c r="X56" s="155"/>
      <c r="Y56" s="155"/>
      <c r="Z56" s="155"/>
      <c r="AA56" s="155"/>
      <c r="AB56" s="155"/>
      <c r="AC56" s="155"/>
      <c r="AD56" s="155"/>
      <c r="AE56" s="155"/>
      <c r="AF56" s="155"/>
      <c r="AG56" s="155"/>
      <c r="AH56" s="155"/>
      <c r="AI56" s="155"/>
      <c r="AJ56" s="155"/>
      <c r="AK56" s="155"/>
      <c r="AL56" s="155"/>
      <c r="AM56" s="155"/>
      <c r="AN56" s="155"/>
      <c r="AO56" s="155"/>
      <c r="AP56" s="155"/>
      <c r="AQ56" s="155"/>
      <c r="AR56" s="155"/>
      <c r="AS56" s="155"/>
      <c r="AT56" s="155"/>
      <c r="AU56" s="155"/>
      <c r="AV56" s="155"/>
      <c r="AW56" s="155"/>
      <c r="AX56" s="155"/>
      <c r="AY56" s="155"/>
      <c r="AZ56" s="155"/>
      <c r="BA56" s="155"/>
      <c r="BB56" s="155"/>
      <c r="BC56" s="155"/>
      <c r="BD56" s="155"/>
      <c r="BE56" s="155"/>
      <c r="BF56" s="155"/>
      <c r="BG56" s="155"/>
      <c r="BH56" s="155"/>
    </row>
    <row r="57" spans="5:60">
      <c r="E57" s="245" t="s">
        <v>629</v>
      </c>
      <c r="F57" s="245"/>
      <c r="G57" s="245"/>
      <c r="H57" s="245"/>
      <c r="I57" s="245"/>
      <c r="J57" s="245"/>
      <c r="K57" s="245"/>
      <c r="L57" s="245"/>
      <c r="M57" s="245"/>
      <c r="N57" s="245"/>
      <c r="O57" s="245"/>
      <c r="P57" s="245"/>
      <c r="Q57" s="245"/>
      <c r="R57" s="245"/>
      <c r="S57" s="245"/>
      <c r="T57" s="245"/>
      <c r="U57" s="325"/>
      <c r="V57" s="155"/>
      <c r="W57" s="155"/>
      <c r="X57" s="155"/>
      <c r="Y57" s="155"/>
      <c r="Z57" s="155"/>
      <c r="AA57" s="155"/>
      <c r="AB57" s="155"/>
      <c r="AC57" s="155"/>
      <c r="AD57" s="155"/>
      <c r="AE57" s="155"/>
      <c r="AF57" s="155"/>
      <c r="AG57" s="155"/>
      <c r="AH57" s="155"/>
      <c r="AI57" s="155"/>
      <c r="AJ57" s="155"/>
      <c r="AK57" s="155"/>
      <c r="AL57" s="155"/>
      <c r="AM57" s="155"/>
      <c r="AN57" s="155"/>
      <c r="AO57" s="155"/>
      <c r="AP57" s="155"/>
      <c r="AQ57" s="155"/>
      <c r="AR57" s="155"/>
      <c r="AS57" s="155"/>
      <c r="AT57" s="155"/>
      <c r="AU57" s="155"/>
      <c r="AV57" s="155"/>
      <c r="AW57" s="155"/>
      <c r="AX57" s="155"/>
      <c r="AY57" s="155"/>
      <c r="AZ57" s="155"/>
      <c r="BA57" s="155"/>
      <c r="BB57" s="155"/>
      <c r="BC57" s="155"/>
      <c r="BD57" s="155"/>
      <c r="BE57" s="155"/>
      <c r="BF57" s="155"/>
      <c r="BG57" s="155"/>
      <c r="BH57" s="155"/>
    </row>
    <row r="58" spans="5:60">
      <c r="E58" s="245" t="s">
        <v>629</v>
      </c>
      <c r="F58" s="245"/>
      <c r="G58" s="245"/>
      <c r="H58" s="245"/>
      <c r="I58" s="245"/>
      <c r="J58" s="245"/>
      <c r="K58" s="245"/>
      <c r="L58" s="245"/>
      <c r="M58" s="245"/>
      <c r="N58" s="245"/>
      <c r="O58" s="245"/>
      <c r="P58" s="245"/>
      <c r="Q58" s="245"/>
      <c r="R58" s="245"/>
      <c r="S58" s="245"/>
      <c r="T58" s="245"/>
      <c r="U58" s="325"/>
      <c r="V58" s="155"/>
      <c r="W58" s="155"/>
      <c r="X58" s="155"/>
      <c r="Y58" s="155"/>
      <c r="Z58" s="155"/>
      <c r="AA58" s="155"/>
      <c r="AB58" s="155"/>
      <c r="AC58" s="155"/>
      <c r="AD58" s="155"/>
      <c r="AE58" s="155"/>
      <c r="AF58" s="155"/>
      <c r="AG58" s="155"/>
      <c r="AH58" s="155"/>
      <c r="AI58" s="155"/>
      <c r="AJ58" s="155"/>
      <c r="AK58" s="155"/>
      <c r="AL58" s="155"/>
      <c r="AM58" s="155"/>
      <c r="AN58" s="155"/>
      <c r="AO58" s="155"/>
      <c r="AP58" s="155"/>
      <c r="AQ58" s="155"/>
      <c r="AR58" s="155"/>
      <c r="AS58" s="155"/>
      <c r="AT58" s="155"/>
      <c r="AU58" s="155"/>
      <c r="AV58" s="155"/>
      <c r="AW58" s="155"/>
      <c r="AX58" s="155"/>
      <c r="AY58" s="155"/>
      <c r="AZ58" s="155"/>
      <c r="BA58" s="155"/>
      <c r="BB58" s="155"/>
      <c r="BC58" s="155"/>
      <c r="BD58" s="155"/>
      <c r="BE58" s="155"/>
      <c r="BF58" s="155"/>
      <c r="BG58" s="155"/>
      <c r="BH58" s="155"/>
    </row>
    <row r="59" spans="5:60">
      <c r="E59" s="245" t="s">
        <v>629</v>
      </c>
      <c r="F59" s="245"/>
      <c r="G59" s="245"/>
      <c r="H59" s="245"/>
      <c r="I59" s="245"/>
      <c r="J59" s="245"/>
      <c r="K59" s="245"/>
      <c r="L59" s="245"/>
      <c r="M59" s="245"/>
      <c r="N59" s="245"/>
      <c r="O59" s="245"/>
      <c r="P59" s="245"/>
      <c r="Q59" s="245"/>
      <c r="R59" s="245"/>
      <c r="S59" s="245"/>
      <c r="T59" s="245"/>
      <c r="U59" s="325"/>
      <c r="V59" s="155"/>
      <c r="W59" s="155"/>
      <c r="X59" s="155"/>
      <c r="Y59" s="155"/>
      <c r="Z59" s="155"/>
      <c r="AA59" s="155"/>
      <c r="AB59" s="155"/>
      <c r="AC59" s="155"/>
      <c r="AD59" s="155"/>
      <c r="AE59" s="155"/>
      <c r="AF59" s="155"/>
      <c r="AG59" s="155"/>
      <c r="AH59" s="155"/>
      <c r="AI59" s="155"/>
      <c r="AJ59" s="155"/>
      <c r="AK59" s="155"/>
      <c r="AL59" s="155"/>
      <c r="AM59" s="155"/>
      <c r="AN59" s="155"/>
      <c r="AO59" s="155"/>
      <c r="AP59" s="155"/>
      <c r="AQ59" s="155"/>
      <c r="AR59" s="155"/>
      <c r="AS59" s="155"/>
      <c r="AT59" s="155"/>
      <c r="AU59" s="155"/>
      <c r="AV59" s="155"/>
      <c r="AW59" s="155"/>
      <c r="AX59" s="155"/>
      <c r="AY59" s="155"/>
      <c r="AZ59" s="155"/>
      <c r="BA59" s="155"/>
      <c r="BB59" s="155"/>
      <c r="BC59" s="155"/>
      <c r="BD59" s="155"/>
      <c r="BE59" s="155"/>
      <c r="BF59" s="155"/>
      <c r="BG59" s="155"/>
      <c r="BH59" s="155"/>
    </row>
    <row r="60" spans="5:60">
      <c r="E60" s="245" t="s">
        <v>630</v>
      </c>
      <c r="F60" s="245"/>
      <c r="G60" s="245"/>
      <c r="H60" s="245"/>
      <c r="I60" s="245"/>
      <c r="J60" s="245"/>
      <c r="K60" s="245"/>
      <c r="L60" s="245"/>
      <c r="M60" s="245"/>
      <c r="N60" s="245"/>
      <c r="O60" s="245"/>
      <c r="P60" s="245"/>
      <c r="Q60" s="245"/>
      <c r="R60" s="245"/>
      <c r="S60" s="245"/>
      <c r="T60" s="245"/>
      <c r="U60" s="325">
        <v>0</v>
      </c>
      <c r="V60" s="155"/>
      <c r="W60" s="155"/>
      <c r="X60" s="155"/>
      <c r="Y60" s="155"/>
      <c r="Z60" s="155"/>
      <c r="AA60" s="155"/>
      <c r="AB60" s="155"/>
      <c r="AC60" s="155"/>
      <c r="AD60" s="155"/>
      <c r="AE60" s="155"/>
      <c r="AF60" s="155"/>
      <c r="AG60" s="155"/>
      <c r="AH60" s="155"/>
      <c r="AI60" s="155"/>
      <c r="AJ60" s="155"/>
      <c r="AK60" s="155"/>
      <c r="AL60" s="155"/>
      <c r="AM60" s="155"/>
      <c r="AN60" s="155"/>
      <c r="AO60" s="155"/>
      <c r="AP60" s="155"/>
      <c r="AQ60" s="155"/>
      <c r="AR60" s="155"/>
      <c r="AS60" s="155"/>
      <c r="AT60" s="155"/>
      <c r="AU60" s="155"/>
      <c r="AV60" s="155"/>
      <c r="AW60" s="155"/>
      <c r="AX60" s="155"/>
      <c r="AY60" s="155"/>
      <c r="AZ60" s="155"/>
      <c r="BA60" s="155"/>
      <c r="BB60" s="155"/>
      <c r="BC60" s="155"/>
      <c r="BD60" s="155"/>
      <c r="BE60" s="155"/>
      <c r="BF60" s="155"/>
      <c r="BG60" s="155"/>
      <c r="BH60" s="155"/>
    </row>
    <row r="61" spans="5:60">
      <c r="E61" s="328" t="s">
        <v>355</v>
      </c>
      <c r="F61" s="183"/>
      <c r="G61" s="183"/>
      <c r="H61" s="183"/>
      <c r="I61" s="183"/>
      <c r="J61" s="183"/>
      <c r="K61" s="183"/>
      <c r="L61" s="183"/>
      <c r="M61" s="183"/>
      <c r="N61" s="183"/>
      <c r="O61" s="183"/>
      <c r="P61" s="183"/>
      <c r="Q61" s="183"/>
      <c r="R61" s="183"/>
      <c r="S61" s="183"/>
      <c r="T61" s="184"/>
      <c r="U61" s="325">
        <f>SUM(U56:U60)</f>
        <v>0</v>
      </c>
      <c r="V61" s="155"/>
      <c r="W61" s="155"/>
      <c r="X61" s="325">
        <f>SUM(X56:X60)</f>
        <v>0</v>
      </c>
      <c r="Y61" s="155"/>
      <c r="Z61" s="155"/>
      <c r="AA61" s="325">
        <f>SUM(AA56:AA60)</f>
        <v>0</v>
      </c>
      <c r="AB61" s="155"/>
      <c r="AC61" s="155"/>
      <c r="AD61" s="325">
        <f>SUM(AD56:AD60)</f>
        <v>0</v>
      </c>
      <c r="AE61" s="155"/>
      <c r="AF61" s="155"/>
      <c r="AG61" s="325">
        <f>SUM(AG56:AG60)</f>
        <v>0</v>
      </c>
      <c r="AH61" s="155"/>
      <c r="AI61" s="155"/>
      <c r="AJ61" s="325">
        <f>SUM(AJ56:AJ60)</f>
        <v>0</v>
      </c>
      <c r="AK61" s="155"/>
      <c r="AL61" s="155"/>
      <c r="AM61" s="325">
        <f>SUM(AM56:AM60)</f>
        <v>0</v>
      </c>
      <c r="AN61" s="155"/>
      <c r="AO61" s="155"/>
      <c r="AP61" s="325">
        <f>SUM(AP56:AP60)</f>
        <v>0</v>
      </c>
      <c r="AQ61" s="155"/>
      <c r="AR61" s="155"/>
      <c r="AS61" s="325">
        <f>SUM(AS56:AS60)</f>
        <v>0</v>
      </c>
      <c r="AT61" s="155"/>
      <c r="AU61" s="155"/>
      <c r="AV61" s="325">
        <f>SUM(AV56:AV60)</f>
        <v>0</v>
      </c>
      <c r="AW61" s="155"/>
      <c r="AX61" s="155"/>
      <c r="AY61" s="325">
        <f>SUM(AY56:AY60)</f>
        <v>0</v>
      </c>
      <c r="AZ61" s="155"/>
      <c r="BA61" s="155"/>
      <c r="BB61" s="325">
        <f>SUM(BB56:BB60)</f>
        <v>0</v>
      </c>
      <c r="BC61" s="155"/>
      <c r="BD61" s="155"/>
      <c r="BE61" s="155">
        <f>SUM(BE56:BE60)</f>
        <v>0</v>
      </c>
      <c r="BF61" s="155"/>
      <c r="BG61" s="155"/>
      <c r="BH61" s="155"/>
    </row>
    <row r="63" spans="5:60">
      <c r="E63" s="7" t="s">
        <v>47</v>
      </c>
      <c r="F63" s="8" t="s">
        <v>631</v>
      </c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</row>
    <row r="64" spans="5:60" ht="4" customHeight="1"/>
    <row r="66" spans="2:60" ht="14">
      <c r="E66" s="321" t="s">
        <v>632</v>
      </c>
      <c r="F66" s="321"/>
      <c r="G66" s="321"/>
      <c r="H66" s="321"/>
      <c r="I66" s="321"/>
      <c r="J66" s="321"/>
      <c r="K66" s="321"/>
      <c r="L66" s="321"/>
      <c r="M66" s="321"/>
      <c r="N66" s="324" t="s">
        <v>633</v>
      </c>
      <c r="O66" s="326" t="s">
        <v>634</v>
      </c>
      <c r="P66" s="326"/>
      <c r="Q66" s="326"/>
      <c r="R66" s="326"/>
      <c r="S66" s="326"/>
      <c r="T66" s="326"/>
      <c r="U66" s="326"/>
      <c r="V66" s="326"/>
      <c r="W66" s="326"/>
      <c r="X66" s="326"/>
      <c r="Y66" s="324" t="s">
        <v>633</v>
      </c>
      <c r="Z66" s="326"/>
      <c r="AA66" s="326"/>
      <c r="AB66" s="326"/>
      <c r="AC66" s="326"/>
      <c r="AD66" s="326"/>
      <c r="AE66" s="326"/>
      <c r="AF66" s="326"/>
      <c r="AG66" s="326"/>
      <c r="AH66" s="324" t="s">
        <v>633</v>
      </c>
      <c r="AI66" s="322"/>
      <c r="AJ66" s="322"/>
      <c r="AK66" s="322"/>
      <c r="AL66" s="322"/>
      <c r="AM66" s="322"/>
      <c r="AN66" s="322"/>
      <c r="AO66" s="322"/>
      <c r="AP66" s="324" t="s">
        <v>568</v>
      </c>
      <c r="AQ66" s="322"/>
      <c r="AR66" s="322"/>
      <c r="AS66" s="322"/>
      <c r="AT66" s="322"/>
      <c r="AU66" s="322"/>
      <c r="AV66" s="322"/>
      <c r="AW66" s="322"/>
    </row>
    <row r="67" spans="2:60" ht="14">
      <c r="E67" s="321"/>
      <c r="F67" s="321"/>
      <c r="G67" s="321"/>
      <c r="H67" s="321"/>
      <c r="I67" s="321"/>
      <c r="J67" s="321"/>
      <c r="K67" s="321"/>
      <c r="L67" s="321"/>
      <c r="M67" s="321"/>
      <c r="N67" s="324"/>
      <c r="O67" s="327" t="s">
        <v>635</v>
      </c>
      <c r="P67" s="327"/>
      <c r="Q67" s="327"/>
      <c r="R67" s="327"/>
      <c r="S67" s="327"/>
      <c r="T67" s="327"/>
      <c r="U67" s="327"/>
      <c r="V67" s="327"/>
      <c r="W67" s="327"/>
      <c r="X67" s="327"/>
      <c r="Y67" s="324"/>
      <c r="Z67" s="327"/>
      <c r="AA67" s="327"/>
      <c r="AB67" s="327"/>
      <c r="AC67" s="327"/>
      <c r="AD67" s="327"/>
      <c r="AE67" s="327"/>
      <c r="AF67" s="327"/>
      <c r="AG67" s="327"/>
      <c r="AH67" s="324"/>
      <c r="AI67" s="322"/>
      <c r="AJ67" s="322"/>
      <c r="AK67" s="322"/>
      <c r="AL67" s="322"/>
      <c r="AM67" s="322"/>
      <c r="AN67" s="322"/>
      <c r="AO67" s="322"/>
      <c r="AP67" s="324"/>
      <c r="AQ67" s="322"/>
      <c r="AR67" s="322"/>
      <c r="AS67" s="322"/>
      <c r="AT67" s="322"/>
      <c r="AU67" s="322"/>
      <c r="AV67" s="322"/>
      <c r="AW67" s="322"/>
    </row>
    <row r="69" spans="2:60" s="2" customFormat="1">
      <c r="B69" s="1"/>
      <c r="C69" s="1"/>
      <c r="D69" s="7" t="s">
        <v>522</v>
      </c>
      <c r="E69" s="8" t="s">
        <v>636</v>
      </c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</row>
    <row r="70" spans="2:60" ht="3" customHeight="1"/>
    <row r="71" spans="2:60">
      <c r="D71" s="151" t="s">
        <v>609</v>
      </c>
      <c r="E71" s="151"/>
      <c r="F71" s="151"/>
      <c r="G71" s="151"/>
      <c r="H71" s="151"/>
      <c r="I71" s="151"/>
      <c r="J71" s="151"/>
      <c r="K71" s="151"/>
      <c r="L71" s="151"/>
      <c r="M71" s="151"/>
      <c r="N71" s="151"/>
      <c r="O71" s="151" t="s">
        <v>637</v>
      </c>
      <c r="P71" s="151"/>
      <c r="Q71" s="151"/>
      <c r="R71" s="151"/>
      <c r="S71" s="151"/>
      <c r="T71" s="151"/>
      <c r="U71" s="151"/>
      <c r="V71" s="151"/>
      <c r="W71" s="151"/>
      <c r="X71" s="151"/>
      <c r="Y71" s="151"/>
      <c r="Z71" s="151" t="s">
        <v>638</v>
      </c>
      <c r="AA71" s="151"/>
      <c r="AB71" s="151"/>
      <c r="AC71" s="151"/>
      <c r="AD71" s="151"/>
      <c r="AE71" s="151"/>
      <c r="AF71" s="151"/>
      <c r="AG71" s="151"/>
      <c r="AH71" s="132" t="s">
        <v>639</v>
      </c>
      <c r="AI71" s="132"/>
      <c r="AJ71" s="132"/>
      <c r="AK71" s="132"/>
      <c r="AL71" s="132"/>
      <c r="AM71" s="132"/>
      <c r="AN71" s="132"/>
      <c r="AO71" s="132"/>
      <c r="AP71" s="132"/>
      <c r="AQ71" s="132"/>
      <c r="AR71" s="132"/>
      <c r="AS71" s="132"/>
      <c r="AT71" s="132" t="s">
        <v>640</v>
      </c>
      <c r="AU71" s="132"/>
      <c r="AV71" s="132"/>
      <c r="AW71" s="132"/>
      <c r="AX71" s="132"/>
      <c r="AY71" s="132"/>
      <c r="AZ71" s="132"/>
      <c r="BA71" s="132"/>
      <c r="BB71" s="132"/>
      <c r="BC71" s="132"/>
      <c r="BD71" s="132"/>
      <c r="BE71" s="132"/>
      <c r="BF71" s="132"/>
      <c r="BG71" s="132"/>
      <c r="BH71" s="132"/>
    </row>
    <row r="72" spans="2:60">
      <c r="D72" s="151"/>
      <c r="E72" s="151"/>
      <c r="F72" s="151"/>
      <c r="G72" s="151"/>
      <c r="H72" s="151"/>
      <c r="I72" s="151"/>
      <c r="J72" s="151"/>
      <c r="K72" s="151"/>
      <c r="L72" s="151"/>
      <c r="M72" s="151"/>
      <c r="N72" s="151"/>
      <c r="O72" s="151"/>
      <c r="P72" s="151"/>
      <c r="Q72" s="151"/>
      <c r="R72" s="151"/>
      <c r="S72" s="151"/>
      <c r="T72" s="151"/>
      <c r="U72" s="151"/>
      <c r="V72" s="151"/>
      <c r="W72" s="151"/>
      <c r="X72" s="151"/>
      <c r="Y72" s="151"/>
      <c r="Z72" s="151"/>
      <c r="AA72" s="151"/>
      <c r="AB72" s="151"/>
      <c r="AC72" s="151"/>
      <c r="AD72" s="151"/>
      <c r="AE72" s="151"/>
      <c r="AF72" s="151"/>
      <c r="AG72" s="151"/>
      <c r="AH72" s="132"/>
      <c r="AI72" s="132"/>
      <c r="AJ72" s="132"/>
      <c r="AK72" s="132"/>
      <c r="AL72" s="132"/>
      <c r="AM72" s="132"/>
      <c r="AN72" s="132"/>
      <c r="AO72" s="132"/>
      <c r="AP72" s="132"/>
      <c r="AQ72" s="132"/>
      <c r="AR72" s="132"/>
      <c r="AS72" s="132"/>
      <c r="AT72" s="132"/>
      <c r="AU72" s="132"/>
      <c r="AV72" s="132"/>
      <c r="AW72" s="132"/>
      <c r="AX72" s="132"/>
      <c r="AY72" s="132"/>
      <c r="AZ72" s="132"/>
      <c r="BA72" s="132"/>
      <c r="BB72" s="132"/>
      <c r="BC72" s="132"/>
      <c r="BD72" s="132"/>
      <c r="BE72" s="132"/>
      <c r="BF72" s="132"/>
      <c r="BG72" s="132"/>
      <c r="BH72" s="132"/>
    </row>
    <row r="73" spans="2:60">
      <c r="D73" s="162" t="s">
        <v>201</v>
      </c>
      <c r="E73" s="161"/>
      <c r="F73" s="161"/>
      <c r="G73" s="161"/>
      <c r="H73" s="161"/>
      <c r="I73" s="161"/>
      <c r="J73" s="161"/>
      <c r="K73" s="161"/>
      <c r="L73" s="161"/>
      <c r="M73" s="161"/>
      <c r="N73" s="161"/>
      <c r="O73" s="162" t="s">
        <v>202</v>
      </c>
      <c r="P73" s="161"/>
      <c r="Q73" s="161"/>
      <c r="R73" s="161"/>
      <c r="S73" s="161"/>
      <c r="T73" s="161"/>
      <c r="U73" s="161"/>
      <c r="V73" s="161"/>
      <c r="W73" s="161"/>
      <c r="X73" s="161"/>
      <c r="Y73" s="161"/>
      <c r="Z73" s="162" t="s">
        <v>203</v>
      </c>
      <c r="AA73" s="161"/>
      <c r="AB73" s="161"/>
      <c r="AC73" s="161"/>
      <c r="AD73" s="161"/>
      <c r="AE73" s="161"/>
      <c r="AF73" s="161"/>
      <c r="AG73" s="161"/>
      <c r="AH73" s="162" t="s">
        <v>204</v>
      </c>
      <c r="AI73" s="161"/>
      <c r="AJ73" s="161"/>
      <c r="AK73" s="161"/>
      <c r="AL73" s="161"/>
      <c r="AM73" s="161"/>
      <c r="AN73" s="161"/>
      <c r="AO73" s="161"/>
      <c r="AP73" s="161"/>
      <c r="AQ73" s="161"/>
      <c r="AR73" s="161"/>
      <c r="AS73" s="161"/>
      <c r="AT73" s="162" t="s">
        <v>205</v>
      </c>
      <c r="AU73" s="161"/>
      <c r="AV73" s="161"/>
      <c r="AW73" s="161"/>
      <c r="AX73" s="161"/>
      <c r="AY73" s="161"/>
      <c r="AZ73" s="161"/>
      <c r="BA73" s="161"/>
      <c r="BB73" s="161"/>
      <c r="BC73" s="161"/>
      <c r="BD73" s="161"/>
      <c r="BE73" s="161"/>
      <c r="BF73" s="161"/>
      <c r="BG73" s="161"/>
      <c r="BH73" s="161"/>
    </row>
    <row r="74" spans="2:60">
      <c r="D74" s="154"/>
      <c r="E74" s="154"/>
      <c r="F74" s="154"/>
      <c r="G74" s="154"/>
      <c r="H74" s="154"/>
      <c r="I74" s="154"/>
      <c r="J74" s="154"/>
      <c r="K74" s="154"/>
      <c r="L74" s="154"/>
      <c r="M74" s="154"/>
      <c r="N74" s="154"/>
      <c r="O74" s="155"/>
      <c r="P74" s="155"/>
      <c r="Q74" s="155"/>
      <c r="R74" s="155"/>
      <c r="S74" s="155"/>
      <c r="T74" s="155"/>
      <c r="U74" s="155"/>
      <c r="V74" s="155"/>
      <c r="W74" s="155"/>
      <c r="X74" s="155"/>
      <c r="Y74" s="155"/>
      <c r="Z74" s="155"/>
      <c r="AA74" s="155"/>
      <c r="AB74" s="155"/>
      <c r="AC74" s="155"/>
      <c r="AD74" s="155"/>
      <c r="AE74" s="155"/>
      <c r="AF74" s="155"/>
      <c r="AG74" s="155"/>
      <c r="AH74" s="155"/>
      <c r="AI74" s="155"/>
      <c r="AJ74" s="155"/>
      <c r="AK74" s="155"/>
      <c r="AL74" s="155"/>
      <c r="AM74" s="155"/>
      <c r="AN74" s="155"/>
      <c r="AO74" s="155"/>
      <c r="AP74" s="155"/>
      <c r="AQ74" s="155"/>
      <c r="AR74" s="155"/>
      <c r="AS74" s="155"/>
      <c r="AT74" s="155"/>
      <c r="AU74" s="155"/>
      <c r="AV74" s="155"/>
      <c r="AW74" s="155"/>
      <c r="AX74" s="155"/>
      <c r="AY74" s="155"/>
      <c r="AZ74" s="155"/>
      <c r="BA74" s="155"/>
      <c r="BB74" s="155"/>
      <c r="BC74" s="155"/>
      <c r="BD74" s="155"/>
      <c r="BE74" s="155"/>
      <c r="BF74" s="155"/>
      <c r="BG74" s="155"/>
      <c r="BH74" s="155"/>
    </row>
    <row r="75" spans="2:60">
      <c r="D75" s="154"/>
      <c r="E75" s="154"/>
      <c r="F75" s="154"/>
      <c r="G75" s="154"/>
      <c r="H75" s="154"/>
      <c r="I75" s="154"/>
      <c r="J75" s="154"/>
      <c r="K75" s="154"/>
      <c r="L75" s="154"/>
      <c r="M75" s="154"/>
      <c r="N75" s="154"/>
      <c r="O75" s="155"/>
      <c r="P75" s="155"/>
      <c r="Q75" s="155"/>
      <c r="R75" s="155"/>
      <c r="S75" s="155"/>
      <c r="T75" s="155"/>
      <c r="U75" s="155"/>
      <c r="V75" s="155"/>
      <c r="W75" s="155"/>
      <c r="X75" s="155"/>
      <c r="Y75" s="155"/>
      <c r="Z75" s="155"/>
      <c r="AA75" s="155"/>
      <c r="AB75" s="155"/>
      <c r="AC75" s="155"/>
      <c r="AD75" s="155"/>
      <c r="AE75" s="155"/>
      <c r="AF75" s="155"/>
      <c r="AG75" s="155"/>
      <c r="AH75" s="155"/>
      <c r="AI75" s="155"/>
      <c r="AJ75" s="155"/>
      <c r="AK75" s="155"/>
      <c r="AL75" s="155"/>
      <c r="AM75" s="155"/>
      <c r="AN75" s="155"/>
      <c r="AO75" s="155"/>
      <c r="AP75" s="155"/>
      <c r="AQ75" s="155"/>
      <c r="AR75" s="155"/>
      <c r="AS75" s="155"/>
      <c r="AT75" s="155"/>
      <c r="AU75" s="155"/>
      <c r="AV75" s="155"/>
      <c r="AW75" s="155"/>
      <c r="AX75" s="155"/>
      <c r="AY75" s="155"/>
      <c r="AZ75" s="155"/>
      <c r="BA75" s="155"/>
      <c r="BB75" s="155"/>
      <c r="BC75" s="155"/>
      <c r="BD75" s="155"/>
      <c r="BE75" s="155"/>
      <c r="BF75" s="155"/>
      <c r="BG75" s="155"/>
      <c r="BH75" s="155"/>
    </row>
    <row r="76" spans="2:60">
      <c r="D76" s="154"/>
      <c r="E76" s="154"/>
      <c r="F76" s="154"/>
      <c r="G76" s="154"/>
      <c r="H76" s="154"/>
      <c r="I76" s="154"/>
      <c r="J76" s="154"/>
      <c r="K76" s="154"/>
      <c r="L76" s="154"/>
      <c r="M76" s="154"/>
      <c r="N76" s="154"/>
      <c r="O76" s="155"/>
      <c r="P76" s="155"/>
      <c r="Q76" s="155"/>
      <c r="R76" s="155"/>
      <c r="S76" s="155"/>
      <c r="T76" s="155"/>
      <c r="U76" s="155"/>
      <c r="V76" s="155"/>
      <c r="W76" s="155"/>
      <c r="X76" s="155"/>
      <c r="Y76" s="155"/>
      <c r="Z76" s="155"/>
      <c r="AA76" s="155"/>
      <c r="AB76" s="155"/>
      <c r="AC76" s="155"/>
      <c r="AD76" s="155"/>
      <c r="AE76" s="155"/>
      <c r="AF76" s="155"/>
      <c r="AG76" s="155"/>
      <c r="AH76" s="155"/>
      <c r="AI76" s="155"/>
      <c r="AJ76" s="155"/>
      <c r="AK76" s="155"/>
      <c r="AL76" s="155"/>
      <c r="AM76" s="155"/>
      <c r="AN76" s="155"/>
      <c r="AO76" s="155"/>
      <c r="AP76" s="155"/>
      <c r="AQ76" s="155"/>
      <c r="AR76" s="155"/>
      <c r="AS76" s="155"/>
      <c r="AT76" s="155"/>
      <c r="AU76" s="155"/>
      <c r="AV76" s="155"/>
      <c r="AW76" s="155"/>
      <c r="AX76" s="155"/>
      <c r="AY76" s="155"/>
      <c r="AZ76" s="155"/>
      <c r="BA76" s="155"/>
      <c r="BB76" s="155"/>
      <c r="BC76" s="155"/>
      <c r="BD76" s="155"/>
      <c r="BE76" s="155"/>
      <c r="BF76" s="155"/>
      <c r="BG76" s="155"/>
      <c r="BH76" s="155"/>
    </row>
    <row r="77" spans="2:60">
      <c r="D77" s="154"/>
      <c r="E77" s="154"/>
      <c r="F77" s="154"/>
      <c r="G77" s="154"/>
      <c r="H77" s="154"/>
      <c r="I77" s="154"/>
      <c r="J77" s="154"/>
      <c r="K77" s="154"/>
      <c r="L77" s="154"/>
      <c r="M77" s="154"/>
      <c r="N77" s="154"/>
      <c r="O77" s="155"/>
      <c r="P77" s="155"/>
      <c r="Q77" s="155"/>
      <c r="R77" s="155"/>
      <c r="S77" s="155"/>
      <c r="T77" s="155"/>
      <c r="U77" s="155"/>
      <c r="V77" s="155"/>
      <c r="W77" s="155"/>
      <c r="X77" s="155"/>
      <c r="Y77" s="155"/>
      <c r="Z77" s="155"/>
      <c r="AA77" s="155"/>
      <c r="AB77" s="155"/>
      <c r="AC77" s="155"/>
      <c r="AD77" s="155"/>
      <c r="AE77" s="155"/>
      <c r="AF77" s="155"/>
      <c r="AG77" s="155"/>
      <c r="AH77" s="155"/>
      <c r="AI77" s="155"/>
      <c r="AJ77" s="155"/>
      <c r="AK77" s="155"/>
      <c r="AL77" s="155"/>
      <c r="AM77" s="155"/>
      <c r="AN77" s="155"/>
      <c r="AO77" s="155"/>
      <c r="AP77" s="155"/>
      <c r="AQ77" s="155"/>
      <c r="AR77" s="155"/>
      <c r="AS77" s="155"/>
      <c r="AT77" s="155"/>
      <c r="AU77" s="155"/>
      <c r="AV77" s="155"/>
      <c r="AW77" s="155"/>
      <c r="AX77" s="155"/>
      <c r="AY77" s="155"/>
      <c r="AZ77" s="155"/>
      <c r="BA77" s="155"/>
      <c r="BB77" s="155"/>
      <c r="BC77" s="155"/>
      <c r="BD77" s="155"/>
      <c r="BE77" s="155"/>
      <c r="BF77" s="155"/>
      <c r="BG77" s="155"/>
      <c r="BH77" s="155"/>
    </row>
    <row r="78" spans="2:60">
      <c r="D78" s="154"/>
      <c r="E78" s="154"/>
      <c r="F78" s="154"/>
      <c r="G78" s="154"/>
      <c r="H78" s="154"/>
      <c r="I78" s="154"/>
      <c r="J78" s="154"/>
      <c r="K78" s="154"/>
      <c r="L78" s="154"/>
      <c r="M78" s="154"/>
      <c r="N78" s="154"/>
      <c r="O78" s="155"/>
      <c r="P78" s="155"/>
      <c r="Q78" s="155"/>
      <c r="R78" s="155"/>
      <c r="S78" s="155"/>
      <c r="T78" s="155"/>
      <c r="U78" s="155"/>
      <c r="V78" s="155"/>
      <c r="W78" s="155"/>
      <c r="X78" s="155"/>
      <c r="Y78" s="155"/>
      <c r="Z78" s="155"/>
      <c r="AA78" s="155"/>
      <c r="AB78" s="155"/>
      <c r="AC78" s="155"/>
      <c r="AD78" s="155"/>
      <c r="AE78" s="155"/>
      <c r="AF78" s="155"/>
      <c r="AG78" s="155"/>
      <c r="AH78" s="155"/>
      <c r="AI78" s="155"/>
      <c r="AJ78" s="155"/>
      <c r="AK78" s="155"/>
      <c r="AL78" s="155"/>
      <c r="AM78" s="155"/>
      <c r="AN78" s="155"/>
      <c r="AO78" s="155"/>
      <c r="AP78" s="155"/>
      <c r="AQ78" s="155"/>
      <c r="AR78" s="155"/>
      <c r="AS78" s="155"/>
      <c r="AT78" s="155"/>
      <c r="AU78" s="155"/>
      <c r="AV78" s="155"/>
      <c r="AW78" s="155"/>
      <c r="AX78" s="155"/>
      <c r="AY78" s="155"/>
      <c r="AZ78" s="155"/>
      <c r="BA78" s="155"/>
      <c r="BB78" s="155"/>
      <c r="BC78" s="155"/>
      <c r="BD78" s="155"/>
      <c r="BE78" s="155"/>
      <c r="BF78" s="155"/>
      <c r="BG78" s="155"/>
      <c r="BH78" s="155"/>
    </row>
    <row r="79" spans="2:60">
      <c r="D79" s="323" t="s">
        <v>355</v>
      </c>
      <c r="E79" s="323"/>
      <c r="F79" s="323"/>
      <c r="G79" s="323"/>
      <c r="H79" s="323"/>
      <c r="I79" s="323"/>
      <c r="J79" s="323"/>
      <c r="K79" s="323"/>
      <c r="L79" s="323"/>
      <c r="M79" s="323"/>
      <c r="N79" s="323"/>
      <c r="O79" s="155">
        <f>SUM(O74:O78)</f>
        <v>0</v>
      </c>
      <c r="P79" s="155"/>
      <c r="Q79" s="155"/>
      <c r="R79" s="155"/>
      <c r="S79" s="155"/>
      <c r="T79" s="155"/>
      <c r="U79" s="155"/>
      <c r="V79" s="155"/>
      <c r="W79" s="155"/>
      <c r="X79" s="155"/>
      <c r="Y79" s="155"/>
      <c r="Z79" s="155">
        <f>SUM(Z74:Z78)</f>
        <v>0</v>
      </c>
      <c r="AA79" s="155"/>
      <c r="AB79" s="155"/>
      <c r="AC79" s="155"/>
      <c r="AD79" s="155"/>
      <c r="AE79" s="155"/>
      <c r="AF79" s="155"/>
      <c r="AG79" s="155"/>
      <c r="AH79" s="155">
        <f>SUM(AH74:AH78)</f>
        <v>0</v>
      </c>
      <c r="AI79" s="155"/>
      <c r="AJ79" s="155"/>
      <c r="AK79" s="155"/>
      <c r="AL79" s="155"/>
      <c r="AM79" s="155"/>
      <c r="AN79" s="155"/>
      <c r="AO79" s="155"/>
      <c r="AP79" s="155"/>
      <c r="AQ79" s="155"/>
      <c r="AR79" s="155"/>
      <c r="AS79" s="155"/>
      <c r="AT79" s="155">
        <f>SUM(AT74:AT78)</f>
        <v>0</v>
      </c>
      <c r="AU79" s="155"/>
      <c r="AV79" s="155"/>
      <c r="AW79" s="155"/>
      <c r="AX79" s="155"/>
      <c r="AY79" s="155"/>
      <c r="AZ79" s="155"/>
      <c r="BA79" s="155"/>
      <c r="BB79" s="155"/>
      <c r="BC79" s="155"/>
      <c r="BD79" s="155"/>
      <c r="BE79" s="155"/>
      <c r="BF79" s="155"/>
      <c r="BG79" s="155"/>
      <c r="BH79" s="155"/>
    </row>
    <row r="81" spans="4:11">
      <c r="D81" s="1" t="s">
        <v>641</v>
      </c>
    </row>
    <row r="82" spans="4:11" ht="4" customHeight="1"/>
    <row r="83" spans="4:11">
      <c r="D83" s="33"/>
      <c r="E83" s="1" t="s">
        <v>642</v>
      </c>
      <c r="J83" s="33"/>
      <c r="K83" s="1" t="s">
        <v>643</v>
      </c>
    </row>
  </sheetData>
  <mergeCells count="327">
    <mergeCell ref="D5:L12"/>
    <mergeCell ref="E37:T38"/>
    <mergeCell ref="BE39:BH40"/>
    <mergeCell ref="E39:J39"/>
    <mergeCell ref="U39:W39"/>
    <mergeCell ref="X39:Z39"/>
    <mergeCell ref="AA39:AC39"/>
    <mergeCell ref="AD39:AF39"/>
    <mergeCell ref="AG39:AI39"/>
    <mergeCell ref="AJ39:AL39"/>
    <mergeCell ref="AM39:AO39"/>
    <mergeCell ref="AP39:AR39"/>
    <mergeCell ref="AA40:AC40"/>
    <mergeCell ref="AD40:AF40"/>
    <mergeCell ref="AG40:AI40"/>
    <mergeCell ref="AJ40:AL40"/>
    <mergeCell ref="AM40:AO40"/>
    <mergeCell ref="AP40:AR40"/>
    <mergeCell ref="AZ7:BH7"/>
    <mergeCell ref="AY18:BG18"/>
    <mergeCell ref="AY20:BG20"/>
    <mergeCell ref="AY22:BG22"/>
    <mergeCell ref="AY24:BG24"/>
    <mergeCell ref="AY26:BG26"/>
    <mergeCell ref="AY28:BG28"/>
    <mergeCell ref="AY30:BG30"/>
    <mergeCell ref="AS39:AU39"/>
    <mergeCell ref="AV39:AX39"/>
    <mergeCell ref="AY39:BA39"/>
    <mergeCell ref="BB39:BD39"/>
    <mergeCell ref="AS40:AU40"/>
    <mergeCell ref="AV40:AX40"/>
    <mergeCell ref="AY40:BA40"/>
    <mergeCell ref="BB40:BD40"/>
    <mergeCell ref="E41:J41"/>
    <mergeCell ref="K41:P41"/>
    <mergeCell ref="Q41:T41"/>
    <mergeCell ref="U41:W41"/>
    <mergeCell ref="X41:Z41"/>
    <mergeCell ref="AA41:AC41"/>
    <mergeCell ref="AD41:AF41"/>
    <mergeCell ref="AG41:AI41"/>
    <mergeCell ref="AJ41:AL41"/>
    <mergeCell ref="AM41:AO41"/>
    <mergeCell ref="AP41:AR41"/>
    <mergeCell ref="AS41:AU41"/>
    <mergeCell ref="AV41:AX41"/>
    <mergeCell ref="AY41:BA41"/>
    <mergeCell ref="BB41:BD41"/>
    <mergeCell ref="K39:P40"/>
    <mergeCell ref="Q39:T40"/>
    <mergeCell ref="E40:J40"/>
    <mergeCell ref="U40:W40"/>
    <mergeCell ref="X40:Z40"/>
    <mergeCell ref="BE41:BH41"/>
    <mergeCell ref="E42:J42"/>
    <mergeCell ref="K42:P42"/>
    <mergeCell ref="Q42:T42"/>
    <mergeCell ref="U42:W42"/>
    <mergeCell ref="X42:Z42"/>
    <mergeCell ref="AA42:AC42"/>
    <mergeCell ref="AD42:AF42"/>
    <mergeCell ref="AG42:AI42"/>
    <mergeCell ref="AJ42:AL42"/>
    <mergeCell ref="AM42:AO42"/>
    <mergeCell ref="AP42:AR42"/>
    <mergeCell ref="AS42:AU42"/>
    <mergeCell ref="AV42:AX42"/>
    <mergeCell ref="AY42:BA42"/>
    <mergeCell ref="BB42:BD42"/>
    <mergeCell ref="BE42:BH42"/>
    <mergeCell ref="AP43:AR43"/>
    <mergeCell ref="AS43:AU43"/>
    <mergeCell ref="AV43:AX43"/>
    <mergeCell ref="AY43:BA43"/>
    <mergeCell ref="BB43:BD43"/>
    <mergeCell ref="BE43:BH43"/>
    <mergeCell ref="E44:J44"/>
    <mergeCell ref="K44:P44"/>
    <mergeCell ref="Q44:T44"/>
    <mergeCell ref="U44:W44"/>
    <mergeCell ref="X44:Z44"/>
    <mergeCell ref="AA44:AC44"/>
    <mergeCell ref="AD44:AF44"/>
    <mergeCell ref="AG44:AI44"/>
    <mergeCell ref="AJ44:AL44"/>
    <mergeCell ref="AM44:AO44"/>
    <mergeCell ref="AP44:AR44"/>
    <mergeCell ref="AS44:AU44"/>
    <mergeCell ref="AV44:AX44"/>
    <mergeCell ref="AY44:BA44"/>
    <mergeCell ref="BB44:BD44"/>
    <mergeCell ref="BE44:BH44"/>
    <mergeCell ref="E43:J43"/>
    <mergeCell ref="K43:P43"/>
    <mergeCell ref="K45:P45"/>
    <mergeCell ref="Q45:T45"/>
    <mergeCell ref="U45:W45"/>
    <mergeCell ref="X45:Z45"/>
    <mergeCell ref="AA45:AC45"/>
    <mergeCell ref="AD45:AF45"/>
    <mergeCell ref="AG45:AI45"/>
    <mergeCell ref="AJ45:AL45"/>
    <mergeCell ref="AM43:AO43"/>
    <mergeCell ref="Q43:T43"/>
    <mergeCell ref="U43:W43"/>
    <mergeCell ref="X43:Z43"/>
    <mergeCell ref="AA43:AC43"/>
    <mergeCell ref="AD43:AF43"/>
    <mergeCell ref="AG43:AI43"/>
    <mergeCell ref="AJ43:AL43"/>
    <mergeCell ref="AM45:AO45"/>
    <mergeCell ref="AP45:AR45"/>
    <mergeCell ref="AS45:AU45"/>
    <mergeCell ref="AV45:AX45"/>
    <mergeCell ref="AY45:BA45"/>
    <mergeCell ref="BB45:BD45"/>
    <mergeCell ref="BE45:BH45"/>
    <mergeCell ref="E46:J46"/>
    <mergeCell ref="K46:P46"/>
    <mergeCell ref="Q46:T46"/>
    <mergeCell ref="U46:W46"/>
    <mergeCell ref="X46:Z46"/>
    <mergeCell ref="AA46:AC46"/>
    <mergeCell ref="AD46:AF46"/>
    <mergeCell ref="AG46:AI46"/>
    <mergeCell ref="AJ46:AL46"/>
    <mergeCell ref="AM46:AO46"/>
    <mergeCell ref="AP46:AR46"/>
    <mergeCell ref="AS46:AU46"/>
    <mergeCell ref="AV46:AX46"/>
    <mergeCell ref="AY46:BA46"/>
    <mergeCell ref="BB46:BD46"/>
    <mergeCell ref="BE46:BH46"/>
    <mergeCell ref="E45:J45"/>
    <mergeCell ref="E47:T47"/>
    <mergeCell ref="U47:W47"/>
    <mergeCell ref="X47:Z47"/>
    <mergeCell ref="AA47:AC47"/>
    <mergeCell ref="AD47:AF47"/>
    <mergeCell ref="AG47:AI47"/>
    <mergeCell ref="AJ47:AL47"/>
    <mergeCell ref="AM47:AO47"/>
    <mergeCell ref="AP47:AR47"/>
    <mergeCell ref="AS54:AU54"/>
    <mergeCell ref="AS47:AU47"/>
    <mergeCell ref="AV47:AX47"/>
    <mergeCell ref="AY47:BA47"/>
    <mergeCell ref="BB47:BD47"/>
    <mergeCell ref="BE47:BH47"/>
    <mergeCell ref="U53:W53"/>
    <mergeCell ref="X53:Z53"/>
    <mergeCell ref="AA53:AC53"/>
    <mergeCell ref="AD53:AF53"/>
    <mergeCell ref="AG53:AI53"/>
    <mergeCell ref="AJ53:AL53"/>
    <mergeCell ref="AM53:AO53"/>
    <mergeCell ref="AP53:AR53"/>
    <mergeCell ref="AS53:AU53"/>
    <mergeCell ref="AV53:AX53"/>
    <mergeCell ref="AY53:BA53"/>
    <mergeCell ref="BB53:BD53"/>
    <mergeCell ref="AV54:AX54"/>
    <mergeCell ref="AY54:BA54"/>
    <mergeCell ref="BB54:BD54"/>
    <mergeCell ref="E55:T55"/>
    <mergeCell ref="U55:W55"/>
    <mergeCell ref="X55:Z55"/>
    <mergeCell ref="AA55:AC55"/>
    <mergeCell ref="AD55:AF55"/>
    <mergeCell ref="AG55:AI55"/>
    <mergeCell ref="AJ55:AL55"/>
    <mergeCell ref="AM55:AO55"/>
    <mergeCell ref="AP55:AR55"/>
    <mergeCell ref="AS55:AU55"/>
    <mergeCell ref="AV55:AX55"/>
    <mergeCell ref="AY55:BA55"/>
    <mergeCell ref="BB55:BD55"/>
    <mergeCell ref="U54:W54"/>
    <mergeCell ref="X54:Z54"/>
    <mergeCell ref="AA54:AC54"/>
    <mergeCell ref="AD54:AF54"/>
    <mergeCell ref="AG54:AI54"/>
    <mergeCell ref="AJ54:AL54"/>
    <mergeCell ref="AM54:AO54"/>
    <mergeCell ref="AP54:AR54"/>
    <mergeCell ref="AG57:AI57"/>
    <mergeCell ref="AJ57:AL57"/>
    <mergeCell ref="AM57:AO57"/>
    <mergeCell ref="AP57:AR57"/>
    <mergeCell ref="BE55:BH55"/>
    <mergeCell ref="E56:T56"/>
    <mergeCell ref="U56:W56"/>
    <mergeCell ref="X56:Z56"/>
    <mergeCell ref="AA56:AC56"/>
    <mergeCell ref="AD56:AF56"/>
    <mergeCell ref="AG56:AI56"/>
    <mergeCell ref="AJ56:AL56"/>
    <mergeCell ref="AM56:AO56"/>
    <mergeCell ref="AP56:AR56"/>
    <mergeCell ref="AS56:AU56"/>
    <mergeCell ref="AV56:AX56"/>
    <mergeCell ref="AY56:BA56"/>
    <mergeCell ref="BB56:BD56"/>
    <mergeCell ref="BE56:BH56"/>
    <mergeCell ref="AS57:AU57"/>
    <mergeCell ref="AV57:AX57"/>
    <mergeCell ref="AY57:BA57"/>
    <mergeCell ref="BB57:BD57"/>
    <mergeCell ref="BE57:BH57"/>
    <mergeCell ref="E58:T58"/>
    <mergeCell ref="U58:W58"/>
    <mergeCell ref="X58:Z58"/>
    <mergeCell ref="AA58:AC58"/>
    <mergeCell ref="AD58:AF58"/>
    <mergeCell ref="AG58:AI58"/>
    <mergeCell ref="AJ58:AL58"/>
    <mergeCell ref="AM58:AO58"/>
    <mergeCell ref="AP58:AR58"/>
    <mergeCell ref="AS58:AU58"/>
    <mergeCell ref="AV58:AX58"/>
    <mergeCell ref="AY58:BA58"/>
    <mergeCell ref="BB58:BD58"/>
    <mergeCell ref="BE58:BH58"/>
    <mergeCell ref="E57:T57"/>
    <mergeCell ref="U57:W57"/>
    <mergeCell ref="X57:Z57"/>
    <mergeCell ref="AA57:AC57"/>
    <mergeCell ref="AD57:AF57"/>
    <mergeCell ref="AY59:BA59"/>
    <mergeCell ref="BB59:BD59"/>
    <mergeCell ref="BE59:BH59"/>
    <mergeCell ref="E60:T60"/>
    <mergeCell ref="U60:W60"/>
    <mergeCell ref="X60:Z60"/>
    <mergeCell ref="AA60:AC60"/>
    <mergeCell ref="AD60:AF60"/>
    <mergeCell ref="AG60:AI60"/>
    <mergeCell ref="AJ60:AL60"/>
    <mergeCell ref="AM60:AO60"/>
    <mergeCell ref="AP60:AR60"/>
    <mergeCell ref="AS60:AU60"/>
    <mergeCell ref="AV60:AX60"/>
    <mergeCell ref="AY60:BA60"/>
    <mergeCell ref="BB60:BD60"/>
    <mergeCell ref="BE60:BH60"/>
    <mergeCell ref="E59:T59"/>
    <mergeCell ref="U59:W59"/>
    <mergeCell ref="X59:Z59"/>
    <mergeCell ref="AA59:AC59"/>
    <mergeCell ref="AD59:AF59"/>
    <mergeCell ref="AG59:AI59"/>
    <mergeCell ref="AJ59:AL59"/>
    <mergeCell ref="X61:Z61"/>
    <mergeCell ref="AA61:AC61"/>
    <mergeCell ref="AD61:AF61"/>
    <mergeCell ref="AG61:AI61"/>
    <mergeCell ref="AJ61:AL61"/>
    <mergeCell ref="AM61:AO61"/>
    <mergeCell ref="AP61:AR61"/>
    <mergeCell ref="AS59:AU59"/>
    <mergeCell ref="AV59:AX59"/>
    <mergeCell ref="AM59:AO59"/>
    <mergeCell ref="AP59:AR59"/>
    <mergeCell ref="D76:N76"/>
    <mergeCell ref="O76:Y76"/>
    <mergeCell ref="Z76:AG76"/>
    <mergeCell ref="AH76:AS76"/>
    <mergeCell ref="AT76:BH76"/>
    <mergeCell ref="D73:N73"/>
    <mergeCell ref="O73:Y73"/>
    <mergeCell ref="Z73:AG73"/>
    <mergeCell ref="AH73:AS73"/>
    <mergeCell ref="AT73:BH73"/>
    <mergeCell ref="D74:N74"/>
    <mergeCell ref="O74:Y74"/>
    <mergeCell ref="Z74:AG74"/>
    <mergeCell ref="AH74:AS74"/>
    <mergeCell ref="AT74:BH74"/>
    <mergeCell ref="D79:N79"/>
    <mergeCell ref="O79:Y79"/>
    <mergeCell ref="Z79:AG79"/>
    <mergeCell ref="AH79:AS79"/>
    <mergeCell ref="AT79:BH79"/>
    <mergeCell ref="N66:N67"/>
    <mergeCell ref="Y66:Y67"/>
    <mergeCell ref="AH66:AH67"/>
    <mergeCell ref="AP66:AP67"/>
    <mergeCell ref="D77:N77"/>
    <mergeCell ref="O77:Y77"/>
    <mergeCell ref="Z77:AG77"/>
    <mergeCell ref="AH77:AS77"/>
    <mergeCell ref="AT77:BH77"/>
    <mergeCell ref="D78:N78"/>
    <mergeCell ref="O78:Y78"/>
    <mergeCell ref="Z78:AG78"/>
    <mergeCell ref="AH78:AS78"/>
    <mergeCell ref="AT78:BH78"/>
    <mergeCell ref="D75:N75"/>
    <mergeCell ref="O75:Y75"/>
    <mergeCell ref="Z75:AG75"/>
    <mergeCell ref="AH75:AS75"/>
    <mergeCell ref="AT75:BH75"/>
    <mergeCell ref="AZ3:BH5"/>
    <mergeCell ref="U37:BH38"/>
    <mergeCell ref="U51:BH52"/>
    <mergeCell ref="BE53:BH54"/>
    <mergeCell ref="E51:T54"/>
    <mergeCell ref="E66:M67"/>
    <mergeCell ref="AI66:AO67"/>
    <mergeCell ref="AQ66:AW67"/>
    <mergeCell ref="D71:N72"/>
    <mergeCell ref="O71:Y72"/>
    <mergeCell ref="Z71:AG72"/>
    <mergeCell ref="AH71:AS72"/>
    <mergeCell ref="AT71:BH72"/>
    <mergeCell ref="AS61:AU61"/>
    <mergeCell ref="AV61:AX61"/>
    <mergeCell ref="AY61:BA61"/>
    <mergeCell ref="BB61:BD61"/>
    <mergeCell ref="BE61:BH61"/>
    <mergeCell ref="O66:X66"/>
    <mergeCell ref="Z66:AG66"/>
    <mergeCell ref="O67:X67"/>
    <mergeCell ref="Z67:AG67"/>
    <mergeCell ref="E61:T61"/>
    <mergeCell ref="U61:W6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1</vt:i4>
      </vt:variant>
    </vt:vector>
  </HeadingPairs>
  <TitlesOfParts>
    <vt:vector size="16" baseType="lpstr">
      <vt:lpstr>INDUK1</vt:lpstr>
      <vt:lpstr>INDUK2</vt:lpstr>
      <vt:lpstr>LKUMUM</vt:lpstr>
      <vt:lpstr>LKDAGANG</vt:lpstr>
      <vt:lpstr>LKJASA</vt:lpstr>
      <vt:lpstr>L2</vt:lpstr>
      <vt:lpstr>L3</vt:lpstr>
      <vt:lpstr>L4</vt:lpstr>
      <vt:lpstr>L5</vt:lpstr>
      <vt:lpstr>L6</vt:lpstr>
      <vt:lpstr>L7</vt:lpstr>
      <vt:lpstr>L8</vt:lpstr>
      <vt:lpstr>L9</vt:lpstr>
      <vt:lpstr>L11A</vt:lpstr>
      <vt:lpstr>L11B</vt:lpstr>
      <vt:lpstr>'L5'!Print_Area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HENDRA</dc:creator>
  <cp:lastModifiedBy>birra_ln@outlook.com</cp:lastModifiedBy>
  <dcterms:created xsi:type="dcterms:W3CDTF">2025-06-06T07:14:00Z</dcterms:created>
  <dcterms:modified xsi:type="dcterms:W3CDTF">2026-04-12T13:17:21Z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1057-12.2.0.21179</vt:lpwstr>
  </property>
  <property fmtid="{D5CDD505-2E9C-101B-9397-08002B2CF9AE}" pid="3" name="ICV">
    <vt:lpwstr>69C4D61FA6CE47AA8DFDD0217B7E6929_12</vt:lpwstr>
  </property>
</Properties>
</file>